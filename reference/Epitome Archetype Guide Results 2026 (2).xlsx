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curveoftheworldptyltd-my.sharepoint.com/personal/merle_epitome-leadership_com/Documents/FLAGSHIP GUIDE/AUTOMATION/"/>
    </mc:Choice>
  </mc:AlternateContent>
  <xr:revisionPtr revIDLastSave="0" documentId="8_{A9BFCEA8-C258-B348-819B-803FC0A7DACA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Epitome Archetype Guide" sheetId="1" r:id="rId1"/>
    <sheet name="Epitome Archetype Framework 202" sheetId="2" r:id="rId2"/>
    <sheet name="Reference" sheetId="3" r:id="rId3"/>
    <sheet name="Analysis" sheetId="4" r:id="rId4"/>
    <sheet name="Response 1" sheetId="5" r:id="rId5"/>
    <sheet name=" Response 2" sheetId="6" r:id="rId6"/>
    <sheet name="Response 3" sheetId="7" r:id="rId7"/>
    <sheet name="Response 4" sheetId="8" r:id="rId8"/>
    <sheet name="Response 5" sheetId="9" r:id="rId9"/>
    <sheet name="Response 6" sheetId="10" r:id="rId10"/>
    <sheet name="Response 7" sheetId="11" r:id="rId11"/>
    <sheet name="Response 8" sheetId="12" r:id="rId12"/>
    <sheet name="Response 9" sheetId="13" r:id="rId13"/>
    <sheet name="Response 10" sheetId="14" r:id="rId14"/>
    <sheet name="Response 11" sheetId="15" r:id="rId15"/>
    <sheet name="Response 12" sheetId="16" r:id="rId16"/>
    <sheet name="Response 13" sheetId="17" r:id="rId17"/>
    <sheet name="Response 14" sheetId="18" r:id="rId18"/>
    <sheet name="Response 15" sheetId="19" r:id="rId19"/>
    <sheet name="Response 16" sheetId="20" r:id="rId20"/>
    <sheet name="Response 17" sheetId="21" r:id="rId21"/>
    <sheet name="Response 18" sheetId="22" r:id="rId22"/>
    <sheet name="Response 19" sheetId="23" r:id="rId23"/>
    <sheet name="Response 20" sheetId="24" r:id="rId24"/>
    <sheet name="testing sheet" sheetId="25" r:id="rId25"/>
    <sheet name="oldAnalysis" sheetId="26" r:id="rId26"/>
    <sheet name="Epitome Archetype Guide1" sheetId="27" r:id="rId27"/>
  </sheets>
  <definedNames>
    <definedName name="_xlnm._FilterDatabase" localSheetId="3" hidden="1">Analysis!$B$1:$U$1000</definedName>
    <definedName name="_xlnm._FilterDatabase" localSheetId="25" hidden="1">oldAnalysis!$A$1:$T$1000</definedName>
    <definedName name="_xlnm._FilterDatabase" localSheetId="2" hidden="1">Reference!$A$2:$AN$1006</definedName>
    <definedName name="Empress" localSheetId="3">Analysis!$F$1</definedName>
    <definedName name="Empress">oldAnalysis!$E$1</definedName>
    <definedName name="Seductress" localSheetId="3">Analysis!$H$1</definedName>
    <definedName name="Seductress">oldAnalysis!$G$1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6" l="1"/>
  <c r="F21" i="26"/>
  <c r="E21" i="26"/>
  <c r="D21" i="26"/>
  <c r="H21" i="26" s="1"/>
  <c r="C21" i="26"/>
  <c r="B21" i="26"/>
  <c r="A21" i="26"/>
  <c r="G20" i="26"/>
  <c r="F20" i="26"/>
  <c r="E20" i="26"/>
  <c r="D20" i="26"/>
  <c r="H20" i="26" s="1"/>
  <c r="C20" i="26"/>
  <c r="B20" i="26"/>
  <c r="A20" i="26"/>
  <c r="G19" i="26"/>
  <c r="F19" i="26"/>
  <c r="E19" i="26"/>
  <c r="D19" i="26"/>
  <c r="H19" i="26" s="1"/>
  <c r="C19" i="26"/>
  <c r="B19" i="26"/>
  <c r="A19" i="26"/>
  <c r="G18" i="26"/>
  <c r="F18" i="26"/>
  <c r="E18" i="26"/>
  <c r="D18" i="26"/>
  <c r="H18" i="26" s="1"/>
  <c r="C18" i="26"/>
  <c r="B18" i="26"/>
  <c r="A18" i="26"/>
  <c r="G17" i="26"/>
  <c r="F17" i="26"/>
  <c r="E17" i="26"/>
  <c r="D17" i="26"/>
  <c r="H17" i="26" s="1"/>
  <c r="C17" i="26"/>
  <c r="B17" i="26"/>
  <c r="A17" i="26"/>
  <c r="G16" i="26"/>
  <c r="F16" i="26"/>
  <c r="E16" i="26"/>
  <c r="D16" i="26"/>
  <c r="H16" i="26" s="1"/>
  <c r="C16" i="26"/>
  <c r="B16" i="26"/>
  <c r="A16" i="26"/>
  <c r="G15" i="26"/>
  <c r="F15" i="26"/>
  <c r="E15" i="26"/>
  <c r="D15" i="26"/>
  <c r="H15" i="26" s="1"/>
  <c r="C15" i="26"/>
  <c r="B15" i="26"/>
  <c r="A15" i="26"/>
  <c r="G14" i="26"/>
  <c r="F14" i="26"/>
  <c r="E14" i="26"/>
  <c r="D14" i="26"/>
  <c r="H14" i="26" s="1"/>
  <c r="C14" i="26"/>
  <c r="B14" i="26"/>
  <c r="A14" i="26"/>
  <c r="G13" i="26"/>
  <c r="F13" i="26"/>
  <c r="E13" i="26"/>
  <c r="D13" i="26"/>
  <c r="H13" i="26" s="1"/>
  <c r="C13" i="26"/>
  <c r="B13" i="26"/>
  <c r="A13" i="26"/>
  <c r="G12" i="26"/>
  <c r="F12" i="26"/>
  <c r="E12" i="26"/>
  <c r="D12" i="26"/>
  <c r="H12" i="26" s="1"/>
  <c r="C12" i="26"/>
  <c r="B12" i="26"/>
  <c r="A12" i="26"/>
  <c r="G11" i="26"/>
  <c r="F11" i="26"/>
  <c r="E11" i="26"/>
  <c r="D11" i="26"/>
  <c r="H11" i="26" s="1"/>
  <c r="C11" i="26"/>
  <c r="B11" i="26"/>
  <c r="A11" i="26"/>
  <c r="G10" i="26"/>
  <c r="F10" i="26"/>
  <c r="E10" i="26"/>
  <c r="D10" i="26"/>
  <c r="H10" i="26" s="1"/>
  <c r="C10" i="26"/>
  <c r="B10" i="26"/>
  <c r="A10" i="26"/>
  <c r="G9" i="26"/>
  <c r="F9" i="26"/>
  <c r="E9" i="26"/>
  <c r="D9" i="26"/>
  <c r="H9" i="26" s="1"/>
  <c r="C9" i="26"/>
  <c r="B9" i="26"/>
  <c r="A9" i="26"/>
  <c r="G8" i="26"/>
  <c r="F8" i="26"/>
  <c r="E8" i="26"/>
  <c r="D8" i="26"/>
  <c r="H8" i="26" s="1"/>
  <c r="C8" i="26"/>
  <c r="B8" i="26"/>
  <c r="A8" i="26"/>
  <c r="G7" i="26"/>
  <c r="F7" i="26"/>
  <c r="E7" i="26"/>
  <c r="D7" i="26"/>
  <c r="H7" i="26" s="1"/>
  <c r="C7" i="26"/>
  <c r="B7" i="26"/>
  <c r="A7" i="26"/>
  <c r="G6" i="26"/>
  <c r="F6" i="26"/>
  <c r="E6" i="26"/>
  <c r="D6" i="26"/>
  <c r="H6" i="26" s="1"/>
  <c r="C6" i="26"/>
  <c r="B6" i="26"/>
  <c r="A6" i="26"/>
  <c r="G5" i="26"/>
  <c r="F5" i="26"/>
  <c r="E5" i="26"/>
  <c r="D5" i="26"/>
  <c r="H5" i="26" s="1"/>
  <c r="C5" i="26"/>
  <c r="B5" i="26"/>
  <c r="A5" i="26"/>
  <c r="G4" i="26"/>
  <c r="F4" i="26"/>
  <c r="E4" i="26"/>
  <c r="D4" i="26"/>
  <c r="H4" i="26" s="1"/>
  <c r="C4" i="26"/>
  <c r="B4" i="26"/>
  <c r="A4" i="26"/>
  <c r="G3" i="26"/>
  <c r="F3" i="26"/>
  <c r="E3" i="26"/>
  <c r="D3" i="26"/>
  <c r="H3" i="26" s="1"/>
  <c r="B2" i="25" s="1"/>
  <c r="C3" i="26"/>
  <c r="B3" i="26"/>
  <c r="A3" i="26"/>
  <c r="G2" i="26"/>
  <c r="F2" i="26"/>
  <c r="E2" i="26"/>
  <c r="D2" i="26"/>
  <c r="H2" i="26" s="1"/>
  <c r="C2" i="26"/>
  <c r="B2" i="26"/>
  <c r="A2" i="26"/>
  <c r="A16" i="25"/>
  <c r="K15" i="25"/>
  <c r="J15" i="25"/>
  <c r="I15" i="25"/>
  <c r="C15" i="25"/>
  <c r="B15" i="25"/>
  <c r="A15" i="25"/>
  <c r="F14" i="25"/>
  <c r="E14" i="25"/>
  <c r="D14" i="25"/>
  <c r="A14" i="25"/>
  <c r="J13" i="25"/>
  <c r="I13" i="25"/>
  <c r="H13" i="25"/>
  <c r="G13" i="25"/>
  <c r="E13" i="25"/>
  <c r="A13" i="25"/>
  <c r="K12" i="25"/>
  <c r="J12" i="25"/>
  <c r="I12" i="25"/>
  <c r="H12" i="25"/>
  <c r="G12" i="25"/>
  <c r="F12" i="25"/>
  <c r="E12" i="25"/>
  <c r="D12" i="25"/>
  <c r="C12" i="25"/>
  <c r="B12" i="25"/>
  <c r="K8" i="25"/>
  <c r="K16" i="25" s="1"/>
  <c r="J8" i="25"/>
  <c r="J16" i="25" s="1"/>
  <c r="I8" i="25"/>
  <c r="I16" i="25" s="1"/>
  <c r="H8" i="25"/>
  <c r="H16" i="25" s="1"/>
  <c r="G8" i="25"/>
  <c r="G16" i="25" s="1"/>
  <c r="F8" i="25"/>
  <c r="F16" i="25" s="1"/>
  <c r="E8" i="25"/>
  <c r="E16" i="25" s="1"/>
  <c r="D8" i="25"/>
  <c r="D16" i="25" s="1"/>
  <c r="C8" i="25"/>
  <c r="C16" i="25" s="1"/>
  <c r="B8" i="25"/>
  <c r="B16" i="25" s="1"/>
  <c r="A8" i="25"/>
  <c r="K7" i="25"/>
  <c r="J7" i="25"/>
  <c r="I7" i="25"/>
  <c r="H7" i="25"/>
  <c r="H15" i="25" s="1"/>
  <c r="G7" i="25"/>
  <c r="G15" i="25" s="1"/>
  <c r="F7" i="25"/>
  <c r="F15" i="25" s="1"/>
  <c r="E7" i="25"/>
  <c r="E15" i="25" s="1"/>
  <c r="D7" i="25"/>
  <c r="D15" i="25" s="1"/>
  <c r="C7" i="25"/>
  <c r="B7" i="25"/>
  <c r="A7" i="25"/>
  <c r="K6" i="25"/>
  <c r="K14" i="25" s="1"/>
  <c r="J6" i="25"/>
  <c r="J14" i="25" s="1"/>
  <c r="I6" i="25"/>
  <c r="I14" i="25" s="1"/>
  <c r="H6" i="25"/>
  <c r="H14" i="25" s="1"/>
  <c r="G6" i="25"/>
  <c r="G14" i="25" s="1"/>
  <c r="F6" i="25"/>
  <c r="E6" i="25"/>
  <c r="D6" i="25"/>
  <c r="C6" i="25"/>
  <c r="C14" i="25" s="1"/>
  <c r="A6" i="25"/>
  <c r="K5" i="25"/>
  <c r="K13" i="25" s="1"/>
  <c r="J5" i="25"/>
  <c r="I5" i="25"/>
  <c r="H5" i="25"/>
  <c r="G5" i="25"/>
  <c r="F5" i="25"/>
  <c r="F13" i="25" s="1"/>
  <c r="E5" i="25"/>
  <c r="D5" i="25"/>
  <c r="D13" i="25" s="1"/>
  <c r="C5" i="25"/>
  <c r="C13" i="25" s="1"/>
  <c r="A5" i="25"/>
  <c r="K4" i="25"/>
  <c r="J4" i="25"/>
  <c r="I4" i="25"/>
  <c r="H4" i="25"/>
  <c r="G4" i="25"/>
  <c r="F4" i="25"/>
  <c r="E4" i="25"/>
  <c r="D4" i="25"/>
  <c r="C4" i="25"/>
  <c r="B4" i="25"/>
  <c r="D1" i="25"/>
  <c r="B1" i="25"/>
  <c r="A1" i="25"/>
  <c r="E1" i="25" s="1"/>
  <c r="F1" i="25" s="1"/>
  <c r="B62" i="24"/>
  <c r="B60" i="24"/>
  <c r="B58" i="24"/>
  <c r="B56" i="24"/>
  <c r="B54" i="24"/>
  <c r="B52" i="24"/>
  <c r="L16" i="24"/>
  <c r="H16" i="24"/>
  <c r="G16" i="24"/>
  <c r="D16" i="24"/>
  <c r="A16" i="24"/>
  <c r="M15" i="24"/>
  <c r="I15" i="24"/>
  <c r="H15" i="24"/>
  <c r="E15" i="24"/>
  <c r="A15" i="24"/>
  <c r="K14" i="24"/>
  <c r="J14" i="24"/>
  <c r="F14" i="24"/>
  <c r="C14" i="24"/>
  <c r="B14" i="24"/>
  <c r="A14" i="24"/>
  <c r="K13" i="24"/>
  <c r="J13" i="24"/>
  <c r="I13" i="24"/>
  <c r="B13" i="24"/>
  <c r="A13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M8" i="24"/>
  <c r="M16" i="24" s="1"/>
  <c r="L8" i="24"/>
  <c r="K8" i="24"/>
  <c r="K16" i="24" s="1"/>
  <c r="J8" i="24"/>
  <c r="J16" i="24" s="1"/>
  <c r="I8" i="24"/>
  <c r="I16" i="24" s="1"/>
  <c r="H8" i="24"/>
  <c r="G8" i="24"/>
  <c r="F8" i="24"/>
  <c r="F16" i="24" s="1"/>
  <c r="E8" i="24"/>
  <c r="E16" i="24" s="1"/>
  <c r="D8" i="24"/>
  <c r="C53" i="24" s="1"/>
  <c r="C8" i="24"/>
  <c r="B8" i="24"/>
  <c r="B16" i="24" s="1"/>
  <c r="A8" i="24"/>
  <c r="M7" i="24"/>
  <c r="L7" i="24"/>
  <c r="L15" i="24" s="1"/>
  <c r="K7" i="24"/>
  <c r="K15" i="24" s="1"/>
  <c r="J7" i="24"/>
  <c r="J15" i="24" s="1"/>
  <c r="I7" i="24"/>
  <c r="H7" i="24"/>
  <c r="G7" i="24"/>
  <c r="G15" i="24" s="1"/>
  <c r="F7" i="24"/>
  <c r="F15" i="24" s="1"/>
  <c r="E7" i="24"/>
  <c r="D7" i="24"/>
  <c r="D15" i="24" s="1"/>
  <c r="C7" i="24"/>
  <c r="C15" i="24" s="1"/>
  <c r="B7" i="24"/>
  <c r="A7" i="24"/>
  <c r="M6" i="24"/>
  <c r="M14" i="24" s="1"/>
  <c r="L6" i="24"/>
  <c r="L14" i="24" s="1"/>
  <c r="K6" i="24"/>
  <c r="J6" i="24"/>
  <c r="I6" i="24"/>
  <c r="H6" i="24"/>
  <c r="H14" i="24" s="1"/>
  <c r="G6" i="24"/>
  <c r="G14" i="24" s="1"/>
  <c r="F6" i="24"/>
  <c r="E6" i="24"/>
  <c r="E14" i="24" s="1"/>
  <c r="D6" i="24"/>
  <c r="D14" i="24" s="1"/>
  <c r="C6" i="24"/>
  <c r="B6" i="24"/>
  <c r="N6" i="24" s="1"/>
  <c r="A6" i="24"/>
  <c r="M5" i="24"/>
  <c r="M13" i="24" s="1"/>
  <c r="L5" i="24"/>
  <c r="L13" i="24" s="1"/>
  <c r="K5" i="24"/>
  <c r="C60" i="24" s="1"/>
  <c r="J5" i="24"/>
  <c r="C59" i="24" s="1"/>
  <c r="I5" i="24"/>
  <c r="H5" i="24"/>
  <c r="H13" i="24" s="1"/>
  <c r="G5" i="24"/>
  <c r="F5" i="24"/>
  <c r="C55" i="24" s="1"/>
  <c r="E5" i="24"/>
  <c r="E13" i="24" s="1"/>
  <c r="D5" i="24"/>
  <c r="D13" i="24" s="1"/>
  <c r="C5" i="24"/>
  <c r="B5" i="24"/>
  <c r="C51" i="24" s="1"/>
  <c r="A5" i="24"/>
  <c r="M4" i="24"/>
  <c r="L4" i="24"/>
  <c r="B61" i="24" s="1"/>
  <c r="K4" i="24"/>
  <c r="J4" i="24"/>
  <c r="B59" i="24" s="1"/>
  <c r="I4" i="24"/>
  <c r="H4" i="24"/>
  <c r="B57" i="24" s="1"/>
  <c r="G4" i="24"/>
  <c r="F4" i="24"/>
  <c r="B55" i="24" s="1"/>
  <c r="E4" i="24"/>
  <c r="D4" i="24"/>
  <c r="B53" i="24" s="1"/>
  <c r="C4" i="24"/>
  <c r="B4" i="24"/>
  <c r="B51" i="24" s="1"/>
  <c r="D1" i="24"/>
  <c r="B1" i="24"/>
  <c r="A1" i="24"/>
  <c r="C62" i="23"/>
  <c r="C59" i="23"/>
  <c r="C58" i="23"/>
  <c r="B58" i="23"/>
  <c r="C54" i="23"/>
  <c r="C53" i="23"/>
  <c r="M16" i="23"/>
  <c r="K16" i="23"/>
  <c r="J16" i="23"/>
  <c r="G16" i="23"/>
  <c r="E16" i="23"/>
  <c r="C16" i="23"/>
  <c r="B16" i="23"/>
  <c r="A16" i="23"/>
  <c r="L15" i="23"/>
  <c r="K15" i="23"/>
  <c r="H15" i="23"/>
  <c r="D15" i="23"/>
  <c r="C15" i="23"/>
  <c r="A15" i="23"/>
  <c r="M14" i="23"/>
  <c r="I14" i="23"/>
  <c r="G14" i="23"/>
  <c r="F14" i="23"/>
  <c r="E14" i="23"/>
  <c r="A14" i="23"/>
  <c r="L13" i="23"/>
  <c r="J13" i="23"/>
  <c r="D13" i="23"/>
  <c r="B13" i="23"/>
  <c r="A13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M8" i="23"/>
  <c r="L8" i="23"/>
  <c r="L16" i="23" s="1"/>
  <c r="K8" i="23"/>
  <c r="J8" i="23"/>
  <c r="I8" i="23"/>
  <c r="I16" i="23" s="1"/>
  <c r="H8" i="23"/>
  <c r="H16" i="23" s="1"/>
  <c r="G8" i="23"/>
  <c r="F8" i="23"/>
  <c r="F16" i="23" s="1"/>
  <c r="E8" i="23"/>
  <c r="D8" i="23"/>
  <c r="C8" i="23"/>
  <c r="B8" i="23"/>
  <c r="A8" i="23"/>
  <c r="M7" i="23"/>
  <c r="M15" i="23" s="1"/>
  <c r="L7" i="23"/>
  <c r="K7" i="23"/>
  <c r="J7" i="23"/>
  <c r="J15" i="23" s="1"/>
  <c r="I7" i="23"/>
  <c r="I15" i="23" s="1"/>
  <c r="H7" i="23"/>
  <c r="G7" i="23"/>
  <c r="G15" i="23" s="1"/>
  <c r="F7" i="23"/>
  <c r="F15" i="23" s="1"/>
  <c r="E7" i="23"/>
  <c r="E15" i="23" s="1"/>
  <c r="D7" i="23"/>
  <c r="C7" i="23"/>
  <c r="B7" i="23"/>
  <c r="B15" i="23" s="1"/>
  <c r="A7" i="23"/>
  <c r="M6" i="23"/>
  <c r="L6" i="23"/>
  <c r="L14" i="23" s="1"/>
  <c r="K6" i="23"/>
  <c r="K14" i="23" s="1"/>
  <c r="J6" i="23"/>
  <c r="J14" i="23" s="1"/>
  <c r="I6" i="23"/>
  <c r="H6" i="23"/>
  <c r="G6" i="23"/>
  <c r="F6" i="23"/>
  <c r="E6" i="23"/>
  <c r="D6" i="23"/>
  <c r="D14" i="23" s="1"/>
  <c r="C6" i="23"/>
  <c r="C14" i="23" s="1"/>
  <c r="B6" i="23"/>
  <c r="A6" i="23"/>
  <c r="M5" i="23"/>
  <c r="M13" i="23" s="1"/>
  <c r="L5" i="23"/>
  <c r="K5" i="23"/>
  <c r="K13" i="23" s="1"/>
  <c r="J5" i="23"/>
  <c r="I5" i="23"/>
  <c r="I13" i="23" s="1"/>
  <c r="H5" i="23"/>
  <c r="H13" i="23" s="1"/>
  <c r="G5" i="23"/>
  <c r="C56" i="23" s="1"/>
  <c r="F5" i="23"/>
  <c r="E5" i="23"/>
  <c r="E13" i="23" s="1"/>
  <c r="D5" i="23"/>
  <c r="C5" i="23"/>
  <c r="C13" i="23" s="1"/>
  <c r="B5" i="23"/>
  <c r="A5" i="23"/>
  <c r="M4" i="23"/>
  <c r="B62" i="23" s="1"/>
  <c r="L4" i="23"/>
  <c r="B61" i="23" s="1"/>
  <c r="K4" i="23"/>
  <c r="B60" i="23" s="1"/>
  <c r="J4" i="23"/>
  <c r="B59" i="23" s="1"/>
  <c r="I4" i="23"/>
  <c r="H4" i="23"/>
  <c r="B57" i="23" s="1"/>
  <c r="G4" i="23"/>
  <c r="B56" i="23" s="1"/>
  <c r="F4" i="23"/>
  <c r="B55" i="23" s="1"/>
  <c r="E4" i="23"/>
  <c r="B54" i="23" s="1"/>
  <c r="D4" i="23"/>
  <c r="B53" i="23" s="1"/>
  <c r="C4" i="23"/>
  <c r="B52" i="23" s="1"/>
  <c r="B4" i="23"/>
  <c r="B51" i="23" s="1"/>
  <c r="D1" i="23"/>
  <c r="B1" i="23"/>
  <c r="A1" i="23"/>
  <c r="B61" i="22"/>
  <c r="B60" i="22"/>
  <c r="B59" i="22"/>
  <c r="B57" i="22"/>
  <c r="B56" i="22"/>
  <c r="B53" i="22"/>
  <c r="B52" i="22"/>
  <c r="B51" i="22"/>
  <c r="M16" i="22"/>
  <c r="J16" i="22"/>
  <c r="H16" i="22"/>
  <c r="F16" i="22"/>
  <c r="E16" i="22"/>
  <c r="B16" i="22"/>
  <c r="A16" i="22"/>
  <c r="K15" i="22"/>
  <c r="J15" i="22"/>
  <c r="G15" i="22"/>
  <c r="F15" i="22"/>
  <c r="C15" i="22"/>
  <c r="B15" i="22"/>
  <c r="A15" i="22"/>
  <c r="L14" i="22"/>
  <c r="J14" i="22"/>
  <c r="I14" i="22"/>
  <c r="H14" i="22"/>
  <c r="D14" i="22"/>
  <c r="B14" i="22"/>
  <c r="A14" i="22"/>
  <c r="L13" i="22"/>
  <c r="G13" i="22"/>
  <c r="D13" i="22"/>
  <c r="A13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M8" i="22"/>
  <c r="L8" i="22"/>
  <c r="L16" i="22" s="1"/>
  <c r="K8" i="22"/>
  <c r="K16" i="22" s="1"/>
  <c r="J8" i="22"/>
  <c r="I8" i="22"/>
  <c r="I16" i="22" s="1"/>
  <c r="H8" i="22"/>
  <c r="G8" i="22"/>
  <c r="G16" i="22" s="1"/>
  <c r="F8" i="22"/>
  <c r="E8" i="22"/>
  <c r="D8" i="22"/>
  <c r="D16" i="22" s="1"/>
  <c r="C8" i="22"/>
  <c r="B8" i="22"/>
  <c r="A8" i="22"/>
  <c r="M7" i="22"/>
  <c r="M15" i="22" s="1"/>
  <c r="L7" i="22"/>
  <c r="L15" i="22" s="1"/>
  <c r="K7" i="22"/>
  <c r="J7" i="22"/>
  <c r="I7" i="22"/>
  <c r="I15" i="22" s="1"/>
  <c r="H7" i="22"/>
  <c r="H15" i="22" s="1"/>
  <c r="G7" i="22"/>
  <c r="F7" i="22"/>
  <c r="E7" i="22"/>
  <c r="E15" i="22" s="1"/>
  <c r="D7" i="22"/>
  <c r="D15" i="22" s="1"/>
  <c r="C7" i="22"/>
  <c r="B7" i="22"/>
  <c r="N7" i="22" s="1"/>
  <c r="A7" i="22"/>
  <c r="M6" i="22"/>
  <c r="M14" i="22" s="1"/>
  <c r="L6" i="22"/>
  <c r="K6" i="22"/>
  <c r="K14" i="22" s="1"/>
  <c r="J6" i="22"/>
  <c r="I6" i="22"/>
  <c r="H6" i="22"/>
  <c r="G6" i="22"/>
  <c r="F6" i="22"/>
  <c r="F14" i="22" s="1"/>
  <c r="E6" i="22"/>
  <c r="E14" i="22" s="1"/>
  <c r="D6" i="22"/>
  <c r="C6" i="22"/>
  <c r="C14" i="22" s="1"/>
  <c r="B6" i="22"/>
  <c r="A6" i="22"/>
  <c r="M5" i="22"/>
  <c r="L5" i="22"/>
  <c r="C61" i="22" s="1"/>
  <c r="K5" i="22"/>
  <c r="K13" i="22" s="1"/>
  <c r="J5" i="22"/>
  <c r="C59" i="22" s="1"/>
  <c r="I5" i="22"/>
  <c r="H5" i="22"/>
  <c r="C57" i="22" s="1"/>
  <c r="G5" i="22"/>
  <c r="F5" i="22"/>
  <c r="C55" i="22" s="1"/>
  <c r="E5" i="22"/>
  <c r="C54" i="22" s="1"/>
  <c r="D5" i="22"/>
  <c r="C53" i="22" s="1"/>
  <c r="C5" i="22"/>
  <c r="C13" i="22" s="1"/>
  <c r="B5" i="22"/>
  <c r="C51" i="22" s="1"/>
  <c r="A5" i="22"/>
  <c r="M4" i="22"/>
  <c r="B62" i="22" s="1"/>
  <c r="L4" i="22"/>
  <c r="K4" i="22"/>
  <c r="J4" i="22"/>
  <c r="I4" i="22"/>
  <c r="B58" i="22" s="1"/>
  <c r="H4" i="22"/>
  <c r="G4" i="22"/>
  <c r="F4" i="22"/>
  <c r="B55" i="22" s="1"/>
  <c r="E4" i="22"/>
  <c r="B54" i="22" s="1"/>
  <c r="D4" i="22"/>
  <c r="C4" i="22"/>
  <c r="B4" i="22"/>
  <c r="D1" i="22"/>
  <c r="B1" i="22"/>
  <c r="A1" i="22"/>
  <c r="C62" i="21"/>
  <c r="C60" i="21"/>
  <c r="C58" i="21"/>
  <c r="C56" i="21"/>
  <c r="B56" i="21"/>
  <c r="C54" i="21"/>
  <c r="C52" i="21"/>
  <c r="M16" i="21"/>
  <c r="I16" i="21"/>
  <c r="H16" i="21"/>
  <c r="E16" i="21"/>
  <c r="A16" i="21"/>
  <c r="M15" i="21"/>
  <c r="J15" i="21"/>
  <c r="F15" i="21"/>
  <c r="E15" i="21"/>
  <c r="B15" i="21"/>
  <c r="A15" i="21"/>
  <c r="M14" i="21"/>
  <c r="L14" i="21"/>
  <c r="K14" i="21"/>
  <c r="G14" i="21"/>
  <c r="E14" i="21"/>
  <c r="D14" i="21"/>
  <c r="C14" i="21"/>
  <c r="A14" i="21"/>
  <c r="L13" i="21"/>
  <c r="J13" i="21"/>
  <c r="H13" i="21"/>
  <c r="G13" i="21"/>
  <c r="B13" i="21"/>
  <c r="A13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M8" i="21"/>
  <c r="L8" i="21"/>
  <c r="L16" i="21" s="1"/>
  <c r="K8" i="21"/>
  <c r="K16" i="21" s="1"/>
  <c r="J8" i="21"/>
  <c r="J16" i="21" s="1"/>
  <c r="I8" i="21"/>
  <c r="H8" i="21"/>
  <c r="G8" i="21"/>
  <c r="G16" i="21" s="1"/>
  <c r="F8" i="21"/>
  <c r="F16" i="21" s="1"/>
  <c r="E8" i="21"/>
  <c r="D8" i="21"/>
  <c r="D16" i="21" s="1"/>
  <c r="C8" i="21"/>
  <c r="C16" i="21" s="1"/>
  <c r="B8" i="21"/>
  <c r="B16" i="21" s="1"/>
  <c r="A8" i="21"/>
  <c r="M7" i="21"/>
  <c r="L7" i="21"/>
  <c r="L15" i="21" s="1"/>
  <c r="K7" i="21"/>
  <c r="K15" i="21" s="1"/>
  <c r="J7" i="21"/>
  <c r="I7" i="21"/>
  <c r="I15" i="21" s="1"/>
  <c r="H7" i="21"/>
  <c r="H15" i="21" s="1"/>
  <c r="G7" i="21"/>
  <c r="G15" i="21" s="1"/>
  <c r="F7" i="21"/>
  <c r="E7" i="21"/>
  <c r="D7" i="21"/>
  <c r="D15" i="21" s="1"/>
  <c r="C7" i="21"/>
  <c r="C15" i="21" s="1"/>
  <c r="B7" i="21"/>
  <c r="A7" i="21"/>
  <c r="M6" i="21"/>
  <c r="L6" i="21"/>
  <c r="K6" i="21"/>
  <c r="J6" i="21"/>
  <c r="J14" i="21" s="1"/>
  <c r="I6" i="21"/>
  <c r="I14" i="21" s="1"/>
  <c r="H6" i="21"/>
  <c r="H14" i="21" s="1"/>
  <c r="G6" i="21"/>
  <c r="F6" i="21"/>
  <c r="F14" i="21" s="1"/>
  <c r="E6" i="21"/>
  <c r="D6" i="21"/>
  <c r="C6" i="21"/>
  <c r="B6" i="21"/>
  <c r="A6" i="21"/>
  <c r="M5" i="21"/>
  <c r="M13" i="21" s="1"/>
  <c r="L5" i="21"/>
  <c r="K5" i="21"/>
  <c r="K13" i="21" s="1"/>
  <c r="J5" i="21"/>
  <c r="I5" i="21"/>
  <c r="I13" i="21" s="1"/>
  <c r="H5" i="21"/>
  <c r="C57" i="21" s="1"/>
  <c r="G5" i="21"/>
  <c r="F5" i="21"/>
  <c r="C55" i="21" s="1"/>
  <c r="E5" i="21"/>
  <c r="E13" i="21" s="1"/>
  <c r="D5" i="21"/>
  <c r="C5" i="21"/>
  <c r="C13" i="21" s="1"/>
  <c r="B5" i="21"/>
  <c r="A5" i="21"/>
  <c r="M4" i="21"/>
  <c r="B62" i="21" s="1"/>
  <c r="L4" i="21"/>
  <c r="B61" i="21" s="1"/>
  <c r="K4" i="21"/>
  <c r="B60" i="21" s="1"/>
  <c r="J4" i="21"/>
  <c r="B59" i="21" s="1"/>
  <c r="I4" i="21"/>
  <c r="B58" i="21" s="1"/>
  <c r="H4" i="21"/>
  <c r="B57" i="21" s="1"/>
  <c r="G4" i="21"/>
  <c r="F4" i="21"/>
  <c r="B55" i="21" s="1"/>
  <c r="E4" i="21"/>
  <c r="B54" i="21" s="1"/>
  <c r="D4" i="21"/>
  <c r="B53" i="21" s="1"/>
  <c r="C4" i="21"/>
  <c r="B52" i="21" s="1"/>
  <c r="B4" i="21"/>
  <c r="B51" i="21" s="1"/>
  <c r="D1" i="21"/>
  <c r="B1" i="21"/>
  <c r="A1" i="21"/>
  <c r="B60" i="20"/>
  <c r="B58" i="20"/>
  <c r="B56" i="20"/>
  <c r="B52" i="20"/>
  <c r="L16" i="20"/>
  <c r="H16" i="20"/>
  <c r="D16" i="20"/>
  <c r="A16" i="20"/>
  <c r="M15" i="20"/>
  <c r="J15" i="20"/>
  <c r="I15" i="20"/>
  <c r="H15" i="20"/>
  <c r="E15" i="20"/>
  <c r="B15" i="20"/>
  <c r="A15" i="20"/>
  <c r="J14" i="20"/>
  <c r="H14" i="20"/>
  <c r="F14" i="20"/>
  <c r="A14" i="20"/>
  <c r="L13" i="20"/>
  <c r="K13" i="20"/>
  <c r="J13" i="20"/>
  <c r="G13" i="20"/>
  <c r="D13" i="20"/>
  <c r="C13" i="20"/>
  <c r="B13" i="20"/>
  <c r="A13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M8" i="20"/>
  <c r="M16" i="20" s="1"/>
  <c r="L8" i="20"/>
  <c r="K8" i="20"/>
  <c r="K16" i="20" s="1"/>
  <c r="J8" i="20"/>
  <c r="J16" i="20" s="1"/>
  <c r="I8" i="20"/>
  <c r="I16" i="20" s="1"/>
  <c r="H8" i="20"/>
  <c r="G8" i="20"/>
  <c r="G16" i="20" s="1"/>
  <c r="F8" i="20"/>
  <c r="F16" i="20" s="1"/>
  <c r="E8" i="20"/>
  <c r="E16" i="20" s="1"/>
  <c r="D8" i="20"/>
  <c r="C8" i="20"/>
  <c r="C16" i="20" s="1"/>
  <c r="B8" i="20"/>
  <c r="B16" i="20" s="1"/>
  <c r="A8" i="20"/>
  <c r="M7" i="20"/>
  <c r="L7" i="20"/>
  <c r="K7" i="20"/>
  <c r="K15" i="20" s="1"/>
  <c r="J7" i="20"/>
  <c r="I7" i="20"/>
  <c r="H7" i="20"/>
  <c r="G7" i="20"/>
  <c r="G15" i="20" s="1"/>
  <c r="F7" i="20"/>
  <c r="F15" i="20" s="1"/>
  <c r="E7" i="20"/>
  <c r="D7" i="20"/>
  <c r="C7" i="20"/>
  <c r="C15" i="20" s="1"/>
  <c r="B7" i="20"/>
  <c r="A7" i="20"/>
  <c r="M6" i="20"/>
  <c r="M14" i="20" s="1"/>
  <c r="L6" i="20"/>
  <c r="L14" i="20" s="1"/>
  <c r="K6" i="20"/>
  <c r="K14" i="20" s="1"/>
  <c r="J6" i="20"/>
  <c r="I6" i="20"/>
  <c r="H6" i="20"/>
  <c r="G6" i="20"/>
  <c r="G14" i="20" s="1"/>
  <c r="F6" i="20"/>
  <c r="E6" i="20"/>
  <c r="E14" i="20" s="1"/>
  <c r="D6" i="20"/>
  <c r="D14" i="20" s="1"/>
  <c r="C6" i="20"/>
  <c r="C14" i="20" s="1"/>
  <c r="B6" i="20"/>
  <c r="A6" i="20"/>
  <c r="M5" i="20"/>
  <c r="L5" i="20"/>
  <c r="K5" i="20"/>
  <c r="J5" i="20"/>
  <c r="I5" i="20"/>
  <c r="I13" i="20" s="1"/>
  <c r="H5" i="20"/>
  <c r="G5" i="20"/>
  <c r="F5" i="20"/>
  <c r="E5" i="20"/>
  <c r="D5" i="20"/>
  <c r="C5" i="20"/>
  <c r="B5" i="20"/>
  <c r="A5" i="20"/>
  <c r="M4" i="20"/>
  <c r="B62" i="20" s="1"/>
  <c r="L4" i="20"/>
  <c r="B61" i="20" s="1"/>
  <c r="K4" i="20"/>
  <c r="J4" i="20"/>
  <c r="B59" i="20" s="1"/>
  <c r="I4" i="20"/>
  <c r="H4" i="20"/>
  <c r="B57" i="20" s="1"/>
  <c r="G4" i="20"/>
  <c r="F4" i="20"/>
  <c r="B55" i="20" s="1"/>
  <c r="E4" i="20"/>
  <c r="B54" i="20" s="1"/>
  <c r="D4" i="20"/>
  <c r="B53" i="20" s="1"/>
  <c r="C4" i="20"/>
  <c r="B4" i="20"/>
  <c r="B51" i="20" s="1"/>
  <c r="D1" i="20"/>
  <c r="B1" i="20"/>
  <c r="A1" i="20"/>
  <c r="C62" i="19"/>
  <c r="B61" i="19"/>
  <c r="B60" i="19"/>
  <c r="C59" i="19"/>
  <c r="B53" i="19"/>
  <c r="B52" i="19"/>
  <c r="M16" i="19"/>
  <c r="K16" i="19"/>
  <c r="G16" i="19"/>
  <c r="E16" i="19"/>
  <c r="C16" i="19"/>
  <c r="A16" i="19"/>
  <c r="M15" i="19"/>
  <c r="K15" i="19"/>
  <c r="J15" i="19"/>
  <c r="H15" i="19"/>
  <c r="E15" i="19"/>
  <c r="D15" i="19"/>
  <c r="C15" i="19"/>
  <c r="A15" i="19"/>
  <c r="K14" i="19"/>
  <c r="J14" i="19"/>
  <c r="I14" i="19"/>
  <c r="G14" i="19"/>
  <c r="C14" i="19"/>
  <c r="A14" i="19"/>
  <c r="L13" i="19"/>
  <c r="J13" i="19"/>
  <c r="G13" i="19"/>
  <c r="D13" i="19"/>
  <c r="A13" i="19"/>
  <c r="M12" i="19"/>
  <c r="L12" i="19"/>
  <c r="K12" i="19"/>
  <c r="J12" i="19"/>
  <c r="I12" i="19"/>
  <c r="H12" i="19"/>
  <c r="G12" i="19"/>
  <c r="F12" i="19"/>
  <c r="E12" i="19"/>
  <c r="D12" i="19"/>
  <c r="C12" i="19"/>
  <c r="B12" i="19"/>
  <c r="M8" i="19"/>
  <c r="L8" i="19"/>
  <c r="L16" i="19" s="1"/>
  <c r="K8" i="19"/>
  <c r="J8" i="19"/>
  <c r="J16" i="19" s="1"/>
  <c r="I8" i="19"/>
  <c r="H8" i="19"/>
  <c r="H16" i="19" s="1"/>
  <c r="G8" i="19"/>
  <c r="F8" i="19"/>
  <c r="F16" i="19" s="1"/>
  <c r="E8" i="19"/>
  <c r="D8" i="19"/>
  <c r="D16" i="19" s="1"/>
  <c r="C8" i="19"/>
  <c r="B8" i="19"/>
  <c r="B16" i="19" s="1"/>
  <c r="A8" i="19"/>
  <c r="M7" i="19"/>
  <c r="L7" i="19"/>
  <c r="L15" i="19" s="1"/>
  <c r="K7" i="19"/>
  <c r="J7" i="19"/>
  <c r="I7" i="19"/>
  <c r="I15" i="19" s="1"/>
  <c r="H7" i="19"/>
  <c r="G7" i="19"/>
  <c r="G15" i="19" s="1"/>
  <c r="F7" i="19"/>
  <c r="F15" i="19" s="1"/>
  <c r="E7" i="19"/>
  <c r="D7" i="19"/>
  <c r="N7" i="19" s="1"/>
  <c r="C7" i="19"/>
  <c r="B7" i="19"/>
  <c r="B15" i="19" s="1"/>
  <c r="A7" i="19"/>
  <c r="M6" i="19"/>
  <c r="M14" i="19" s="1"/>
  <c r="L6" i="19"/>
  <c r="L14" i="19" s="1"/>
  <c r="K6" i="19"/>
  <c r="J6" i="19"/>
  <c r="I6" i="19"/>
  <c r="H6" i="19"/>
  <c r="H14" i="19" s="1"/>
  <c r="G6" i="19"/>
  <c r="F6" i="19"/>
  <c r="F14" i="19" s="1"/>
  <c r="E6" i="19"/>
  <c r="C54" i="19" s="1"/>
  <c r="D6" i="19"/>
  <c r="D14" i="19" s="1"/>
  <c r="C6" i="19"/>
  <c r="B6" i="19"/>
  <c r="A6" i="19"/>
  <c r="M5" i="19"/>
  <c r="M13" i="19" s="1"/>
  <c r="L5" i="19"/>
  <c r="K5" i="19"/>
  <c r="J5" i="19"/>
  <c r="I5" i="19"/>
  <c r="I13" i="19" s="1"/>
  <c r="H5" i="19"/>
  <c r="G5" i="19"/>
  <c r="F5" i="19"/>
  <c r="F13" i="19" s="1"/>
  <c r="E5" i="19"/>
  <c r="E13" i="19" s="1"/>
  <c r="D5" i="19"/>
  <c r="C5" i="19"/>
  <c r="B5" i="19"/>
  <c r="A5" i="19"/>
  <c r="M4" i="19"/>
  <c r="B62" i="19" s="1"/>
  <c r="L4" i="19"/>
  <c r="K4" i="19"/>
  <c r="J4" i="19"/>
  <c r="B59" i="19" s="1"/>
  <c r="I4" i="19"/>
  <c r="B58" i="19" s="1"/>
  <c r="H4" i="19"/>
  <c r="B57" i="19" s="1"/>
  <c r="G4" i="19"/>
  <c r="B56" i="19" s="1"/>
  <c r="F4" i="19"/>
  <c r="B55" i="19" s="1"/>
  <c r="E4" i="19"/>
  <c r="B54" i="19" s="1"/>
  <c r="D4" i="19"/>
  <c r="C4" i="19"/>
  <c r="B4" i="19"/>
  <c r="B51" i="19" s="1"/>
  <c r="D1" i="19"/>
  <c r="B1" i="19"/>
  <c r="A1" i="19"/>
  <c r="C62" i="18"/>
  <c r="B61" i="18"/>
  <c r="B59" i="18"/>
  <c r="B58" i="18"/>
  <c r="B56" i="18"/>
  <c r="B53" i="18"/>
  <c r="B52" i="18"/>
  <c r="B51" i="18"/>
  <c r="M16" i="18"/>
  <c r="J16" i="18"/>
  <c r="H16" i="18"/>
  <c r="F16" i="18"/>
  <c r="E16" i="18"/>
  <c r="C16" i="18"/>
  <c r="B16" i="18"/>
  <c r="A16" i="18"/>
  <c r="K15" i="18"/>
  <c r="H15" i="18"/>
  <c r="F15" i="18"/>
  <c r="C15" i="18"/>
  <c r="B15" i="18"/>
  <c r="A15" i="18"/>
  <c r="L14" i="18"/>
  <c r="H14" i="18"/>
  <c r="G14" i="18"/>
  <c r="F14" i="18"/>
  <c r="E14" i="18"/>
  <c r="D14" i="18"/>
  <c r="A14" i="18"/>
  <c r="M13" i="18"/>
  <c r="L13" i="18"/>
  <c r="J13" i="18"/>
  <c r="G13" i="18"/>
  <c r="E13" i="18"/>
  <c r="D13" i="18"/>
  <c r="B13" i="18"/>
  <c r="A13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M8" i="18"/>
  <c r="L8" i="18"/>
  <c r="K8" i="18"/>
  <c r="K16" i="18" s="1"/>
  <c r="J8" i="18"/>
  <c r="I8" i="18"/>
  <c r="I16" i="18" s="1"/>
  <c r="H8" i="18"/>
  <c r="G8" i="18"/>
  <c r="G16" i="18" s="1"/>
  <c r="F8" i="18"/>
  <c r="E8" i="18"/>
  <c r="D8" i="18"/>
  <c r="C8" i="18"/>
  <c r="B8" i="18"/>
  <c r="A8" i="18"/>
  <c r="M7" i="18"/>
  <c r="M15" i="18" s="1"/>
  <c r="L7" i="18"/>
  <c r="L15" i="18" s="1"/>
  <c r="K7" i="18"/>
  <c r="J7" i="18"/>
  <c r="J15" i="18" s="1"/>
  <c r="I7" i="18"/>
  <c r="I15" i="18" s="1"/>
  <c r="H7" i="18"/>
  <c r="G7" i="18"/>
  <c r="G15" i="18" s="1"/>
  <c r="F7" i="18"/>
  <c r="E7" i="18"/>
  <c r="E15" i="18" s="1"/>
  <c r="D7" i="18"/>
  <c r="D15" i="18" s="1"/>
  <c r="C7" i="18"/>
  <c r="B7" i="18"/>
  <c r="A7" i="18"/>
  <c r="M6" i="18"/>
  <c r="M14" i="18" s="1"/>
  <c r="L6" i="18"/>
  <c r="K6" i="18"/>
  <c r="K14" i="18" s="1"/>
  <c r="J6" i="18"/>
  <c r="J14" i="18" s="1"/>
  <c r="I6" i="18"/>
  <c r="I14" i="18" s="1"/>
  <c r="H6" i="18"/>
  <c r="G6" i="18"/>
  <c r="F6" i="18"/>
  <c r="E6" i="18"/>
  <c r="D6" i="18"/>
  <c r="C6" i="18"/>
  <c r="C14" i="18" s="1"/>
  <c r="B6" i="18"/>
  <c r="A6" i="18"/>
  <c r="M5" i="18"/>
  <c r="L5" i="18"/>
  <c r="K5" i="18"/>
  <c r="J5" i="18"/>
  <c r="I5" i="18"/>
  <c r="I13" i="18" s="1"/>
  <c r="H5" i="18"/>
  <c r="G5" i="18"/>
  <c r="F5" i="18"/>
  <c r="E5" i="18"/>
  <c r="C54" i="18" s="1"/>
  <c r="D5" i="18"/>
  <c r="C5" i="18"/>
  <c r="B5" i="18"/>
  <c r="A5" i="18"/>
  <c r="M4" i="18"/>
  <c r="B62" i="18" s="1"/>
  <c r="L4" i="18"/>
  <c r="K4" i="18"/>
  <c r="B60" i="18" s="1"/>
  <c r="J4" i="18"/>
  <c r="I4" i="18"/>
  <c r="H4" i="18"/>
  <c r="B57" i="18" s="1"/>
  <c r="G4" i="18"/>
  <c r="F4" i="18"/>
  <c r="B55" i="18" s="1"/>
  <c r="E4" i="18"/>
  <c r="B54" i="18" s="1"/>
  <c r="D4" i="18"/>
  <c r="C4" i="18"/>
  <c r="B4" i="18"/>
  <c r="D1" i="18"/>
  <c r="B1" i="18"/>
  <c r="A1" i="18"/>
  <c r="B59" i="17"/>
  <c r="C58" i="17"/>
  <c r="B56" i="17"/>
  <c r="B51" i="17"/>
  <c r="M16" i="17"/>
  <c r="H16" i="17"/>
  <c r="F16" i="17"/>
  <c r="E16" i="17"/>
  <c r="A16" i="17"/>
  <c r="M15" i="17"/>
  <c r="K15" i="17"/>
  <c r="F15" i="17"/>
  <c r="E15" i="17"/>
  <c r="C15" i="17"/>
  <c r="A15" i="17"/>
  <c r="M14" i="17"/>
  <c r="K14" i="17"/>
  <c r="I14" i="17"/>
  <c r="C14" i="17"/>
  <c r="B14" i="17"/>
  <c r="A14" i="17"/>
  <c r="L13" i="17"/>
  <c r="J13" i="17"/>
  <c r="G13" i="17"/>
  <c r="E13" i="17"/>
  <c r="D13" i="17"/>
  <c r="B13" i="17"/>
  <c r="A13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M8" i="17"/>
  <c r="L8" i="17"/>
  <c r="L16" i="17" s="1"/>
  <c r="K8" i="17"/>
  <c r="K16" i="17" s="1"/>
  <c r="J8" i="17"/>
  <c r="J16" i="17" s="1"/>
  <c r="I8" i="17"/>
  <c r="I16" i="17" s="1"/>
  <c r="H8" i="17"/>
  <c r="G8" i="17"/>
  <c r="G16" i="17" s="1"/>
  <c r="F8" i="17"/>
  <c r="E8" i="17"/>
  <c r="D8" i="17"/>
  <c r="D16" i="17" s="1"/>
  <c r="C8" i="17"/>
  <c r="C16" i="17" s="1"/>
  <c r="B8" i="17"/>
  <c r="B16" i="17" s="1"/>
  <c r="A8" i="17"/>
  <c r="M7" i="17"/>
  <c r="L7" i="17"/>
  <c r="L15" i="17" s="1"/>
  <c r="K7" i="17"/>
  <c r="J7" i="17"/>
  <c r="J15" i="17" s="1"/>
  <c r="I7" i="17"/>
  <c r="I15" i="17" s="1"/>
  <c r="H7" i="17"/>
  <c r="H15" i="17" s="1"/>
  <c r="G7" i="17"/>
  <c r="G15" i="17" s="1"/>
  <c r="F7" i="17"/>
  <c r="E7" i="17"/>
  <c r="D7" i="17"/>
  <c r="D15" i="17" s="1"/>
  <c r="C7" i="17"/>
  <c r="B7" i="17"/>
  <c r="A7" i="17"/>
  <c r="M6" i="17"/>
  <c r="C62" i="17" s="1"/>
  <c r="L6" i="17"/>
  <c r="L14" i="17" s="1"/>
  <c r="K6" i="17"/>
  <c r="J6" i="17"/>
  <c r="J14" i="17" s="1"/>
  <c r="I6" i="17"/>
  <c r="H6" i="17"/>
  <c r="H14" i="17" s="1"/>
  <c r="G6" i="17"/>
  <c r="G14" i="17" s="1"/>
  <c r="F6" i="17"/>
  <c r="F14" i="17" s="1"/>
  <c r="E6" i="17"/>
  <c r="E14" i="17" s="1"/>
  <c r="D6" i="17"/>
  <c r="D14" i="17" s="1"/>
  <c r="C6" i="17"/>
  <c r="B6" i="17"/>
  <c r="A6" i="17"/>
  <c r="M5" i="17"/>
  <c r="M13" i="17" s="1"/>
  <c r="L5" i="17"/>
  <c r="C61" i="17" s="1"/>
  <c r="K5" i="17"/>
  <c r="J5" i="17"/>
  <c r="I5" i="17"/>
  <c r="I13" i="17" s="1"/>
  <c r="H5" i="17"/>
  <c r="G5" i="17"/>
  <c r="F5" i="17"/>
  <c r="E5" i="17"/>
  <c r="D5" i="17"/>
  <c r="C53" i="17" s="1"/>
  <c r="C5" i="17"/>
  <c r="C13" i="17" s="1"/>
  <c r="B5" i="17"/>
  <c r="A5" i="17"/>
  <c r="M4" i="17"/>
  <c r="B62" i="17" s="1"/>
  <c r="L4" i="17"/>
  <c r="B61" i="17" s="1"/>
  <c r="K4" i="17"/>
  <c r="B60" i="17" s="1"/>
  <c r="J4" i="17"/>
  <c r="I4" i="17"/>
  <c r="B58" i="17" s="1"/>
  <c r="H4" i="17"/>
  <c r="B57" i="17" s="1"/>
  <c r="G4" i="17"/>
  <c r="F4" i="17"/>
  <c r="B55" i="17" s="1"/>
  <c r="E4" i="17"/>
  <c r="B54" i="17" s="1"/>
  <c r="D4" i="17"/>
  <c r="B53" i="17" s="1"/>
  <c r="C4" i="17"/>
  <c r="B52" i="17" s="1"/>
  <c r="B4" i="17"/>
  <c r="D1" i="17"/>
  <c r="B1" i="17"/>
  <c r="A1" i="17"/>
  <c r="C60" i="16"/>
  <c r="B60" i="16"/>
  <c r="B58" i="16"/>
  <c r="B57" i="16"/>
  <c r="B56" i="16"/>
  <c r="B55" i="16"/>
  <c r="B53" i="16"/>
  <c r="C52" i="16"/>
  <c r="K16" i="16"/>
  <c r="I16" i="16"/>
  <c r="H16" i="16"/>
  <c r="C16" i="16"/>
  <c r="A16" i="16"/>
  <c r="I15" i="16"/>
  <c r="H15" i="16"/>
  <c r="F15" i="16"/>
  <c r="E15" i="16"/>
  <c r="C15" i="16"/>
  <c r="A15" i="16"/>
  <c r="M14" i="16"/>
  <c r="L14" i="16"/>
  <c r="J14" i="16"/>
  <c r="H14" i="16"/>
  <c r="G14" i="16"/>
  <c r="F14" i="16"/>
  <c r="D14" i="16"/>
  <c r="C14" i="16"/>
  <c r="A14" i="16"/>
  <c r="M13" i="16"/>
  <c r="L13" i="16"/>
  <c r="K13" i="16"/>
  <c r="J13" i="16"/>
  <c r="G13" i="16"/>
  <c r="D13" i="16"/>
  <c r="C13" i="16"/>
  <c r="B13" i="16"/>
  <c r="A13" i="16"/>
  <c r="M12" i="16"/>
  <c r="L12" i="16"/>
  <c r="K12" i="16"/>
  <c r="J12" i="16"/>
  <c r="I12" i="16"/>
  <c r="H12" i="16"/>
  <c r="G12" i="16"/>
  <c r="F12" i="16"/>
  <c r="E12" i="16"/>
  <c r="D12" i="16"/>
  <c r="C12" i="16"/>
  <c r="B12" i="16"/>
  <c r="M8" i="16"/>
  <c r="M16" i="16" s="1"/>
  <c r="L8" i="16"/>
  <c r="L16" i="16" s="1"/>
  <c r="K8" i="16"/>
  <c r="J8" i="16"/>
  <c r="J16" i="16" s="1"/>
  <c r="I8" i="16"/>
  <c r="H8" i="16"/>
  <c r="G8" i="16"/>
  <c r="G16" i="16" s="1"/>
  <c r="F8" i="16"/>
  <c r="F16" i="16" s="1"/>
  <c r="E8" i="16"/>
  <c r="E16" i="16" s="1"/>
  <c r="D8" i="16"/>
  <c r="D16" i="16" s="1"/>
  <c r="C8" i="16"/>
  <c r="B8" i="16"/>
  <c r="N8" i="16" s="1"/>
  <c r="A8" i="16"/>
  <c r="M7" i="16"/>
  <c r="M15" i="16" s="1"/>
  <c r="L7" i="16"/>
  <c r="L15" i="16" s="1"/>
  <c r="K7" i="16"/>
  <c r="K15" i="16" s="1"/>
  <c r="J7" i="16"/>
  <c r="J15" i="16" s="1"/>
  <c r="I7" i="16"/>
  <c r="H7" i="16"/>
  <c r="G7" i="16"/>
  <c r="G15" i="16" s="1"/>
  <c r="F7" i="16"/>
  <c r="E7" i="16"/>
  <c r="D7" i="16"/>
  <c r="D15" i="16" s="1"/>
  <c r="C7" i="16"/>
  <c r="B7" i="16"/>
  <c r="A7" i="16"/>
  <c r="M6" i="16"/>
  <c r="L6" i="16"/>
  <c r="K6" i="16"/>
  <c r="K14" i="16" s="1"/>
  <c r="J6" i="16"/>
  <c r="I6" i="16"/>
  <c r="I14" i="16" s="1"/>
  <c r="H6" i="16"/>
  <c r="G6" i="16"/>
  <c r="F6" i="16"/>
  <c r="E6" i="16"/>
  <c r="E14" i="16" s="1"/>
  <c r="D6" i="16"/>
  <c r="C6" i="16"/>
  <c r="B6" i="16"/>
  <c r="B14" i="16" s="1"/>
  <c r="A6" i="16"/>
  <c r="M5" i="16"/>
  <c r="C62" i="16" s="1"/>
  <c r="L5" i="16"/>
  <c r="K5" i="16"/>
  <c r="J5" i="16"/>
  <c r="I5" i="16"/>
  <c r="C58" i="16" s="1"/>
  <c r="H5" i="16"/>
  <c r="H13" i="16" s="1"/>
  <c r="G5" i="16"/>
  <c r="F5" i="16"/>
  <c r="E5" i="16"/>
  <c r="D5" i="16"/>
  <c r="C5" i="16"/>
  <c r="B5" i="16"/>
  <c r="A5" i="16"/>
  <c r="M4" i="16"/>
  <c r="B62" i="16" s="1"/>
  <c r="L4" i="16"/>
  <c r="B61" i="16" s="1"/>
  <c r="K4" i="16"/>
  <c r="J4" i="16"/>
  <c r="B59" i="16" s="1"/>
  <c r="I4" i="16"/>
  <c r="H4" i="16"/>
  <c r="G4" i="16"/>
  <c r="F4" i="16"/>
  <c r="E4" i="16"/>
  <c r="B54" i="16" s="1"/>
  <c r="D4" i="16"/>
  <c r="C4" i="16"/>
  <c r="B52" i="16" s="1"/>
  <c r="B4" i="16"/>
  <c r="B51" i="16" s="1"/>
  <c r="D1" i="16"/>
  <c r="B1" i="16"/>
  <c r="A1" i="16"/>
  <c r="C60" i="15"/>
  <c r="B59" i="15"/>
  <c r="C58" i="15"/>
  <c r="B58" i="15"/>
  <c r="B56" i="15"/>
  <c r="B55" i="15"/>
  <c r="C52" i="15"/>
  <c r="B51" i="15"/>
  <c r="M16" i="15"/>
  <c r="K16" i="15"/>
  <c r="I16" i="15"/>
  <c r="D16" i="15"/>
  <c r="C16" i="15"/>
  <c r="A16" i="15"/>
  <c r="I15" i="15"/>
  <c r="D15" i="15"/>
  <c r="A15" i="15"/>
  <c r="M14" i="15"/>
  <c r="K14" i="15"/>
  <c r="I14" i="15"/>
  <c r="G14" i="15"/>
  <c r="A14" i="15"/>
  <c r="M13" i="15"/>
  <c r="L13" i="15"/>
  <c r="K13" i="15"/>
  <c r="E13" i="15"/>
  <c r="D13" i="15"/>
  <c r="C13" i="15"/>
  <c r="B13" i="15"/>
  <c r="A13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M8" i="15"/>
  <c r="L8" i="15"/>
  <c r="L16" i="15" s="1"/>
  <c r="K8" i="15"/>
  <c r="J8" i="15"/>
  <c r="J16" i="15" s="1"/>
  <c r="I8" i="15"/>
  <c r="H8" i="15"/>
  <c r="H16" i="15" s="1"/>
  <c r="G8" i="15"/>
  <c r="G16" i="15" s="1"/>
  <c r="F8" i="15"/>
  <c r="F16" i="15" s="1"/>
  <c r="E8" i="15"/>
  <c r="E16" i="15" s="1"/>
  <c r="D8" i="15"/>
  <c r="C8" i="15"/>
  <c r="B8" i="15"/>
  <c r="B16" i="15" s="1"/>
  <c r="A8" i="15"/>
  <c r="M7" i="15"/>
  <c r="L7" i="15"/>
  <c r="L15" i="15" s="1"/>
  <c r="K7" i="15"/>
  <c r="K15" i="15" s="1"/>
  <c r="J7" i="15"/>
  <c r="J15" i="15" s="1"/>
  <c r="I7" i="15"/>
  <c r="H7" i="15"/>
  <c r="H15" i="15" s="1"/>
  <c r="G7" i="15"/>
  <c r="G15" i="15" s="1"/>
  <c r="F7" i="15"/>
  <c r="F15" i="15" s="1"/>
  <c r="E7" i="15"/>
  <c r="E15" i="15" s="1"/>
  <c r="D7" i="15"/>
  <c r="C7" i="15"/>
  <c r="C15" i="15" s="1"/>
  <c r="B7" i="15"/>
  <c r="A7" i="15"/>
  <c r="M6" i="15"/>
  <c r="L6" i="15"/>
  <c r="L14" i="15" s="1"/>
  <c r="K6" i="15"/>
  <c r="J6" i="15"/>
  <c r="J14" i="15" s="1"/>
  <c r="I6" i="15"/>
  <c r="H6" i="15"/>
  <c r="H14" i="15" s="1"/>
  <c r="G6" i="15"/>
  <c r="F6" i="15"/>
  <c r="F14" i="15" s="1"/>
  <c r="E6" i="15"/>
  <c r="C54" i="15" s="1"/>
  <c r="D6" i="15"/>
  <c r="D14" i="15" s="1"/>
  <c r="C6" i="15"/>
  <c r="C14" i="15" s="1"/>
  <c r="B6" i="15"/>
  <c r="B14" i="15" s="1"/>
  <c r="A6" i="15"/>
  <c r="M5" i="15"/>
  <c r="L5" i="15"/>
  <c r="K5" i="15"/>
  <c r="J5" i="15"/>
  <c r="I5" i="15"/>
  <c r="I13" i="15" s="1"/>
  <c r="H5" i="15"/>
  <c r="G5" i="15"/>
  <c r="F5" i="15"/>
  <c r="E5" i="15"/>
  <c r="D5" i="15"/>
  <c r="C5" i="15"/>
  <c r="B5" i="15"/>
  <c r="A5" i="15"/>
  <c r="M4" i="15"/>
  <c r="B62" i="15" s="1"/>
  <c r="L4" i="15"/>
  <c r="B61" i="15" s="1"/>
  <c r="K4" i="15"/>
  <c r="B60" i="15" s="1"/>
  <c r="J4" i="15"/>
  <c r="I4" i="15"/>
  <c r="H4" i="15"/>
  <c r="B57" i="15" s="1"/>
  <c r="G4" i="15"/>
  <c r="F4" i="15"/>
  <c r="E4" i="15"/>
  <c r="B54" i="15" s="1"/>
  <c r="D4" i="15"/>
  <c r="B53" i="15" s="1"/>
  <c r="C4" i="15"/>
  <c r="B52" i="15" s="1"/>
  <c r="B4" i="15"/>
  <c r="D1" i="15"/>
  <c r="B1" i="15"/>
  <c r="A1" i="15"/>
  <c r="C61" i="14"/>
  <c r="B61" i="14"/>
  <c r="B57" i="14"/>
  <c r="C55" i="14"/>
  <c r="B53" i="14"/>
  <c r="B51" i="14"/>
  <c r="M16" i="14"/>
  <c r="K16" i="14"/>
  <c r="J16" i="14"/>
  <c r="E16" i="14"/>
  <c r="C16" i="14"/>
  <c r="B16" i="14"/>
  <c r="A16" i="14"/>
  <c r="L15" i="14"/>
  <c r="K15" i="14"/>
  <c r="H15" i="14"/>
  <c r="D15" i="14"/>
  <c r="C15" i="14"/>
  <c r="B15" i="14"/>
  <c r="A15" i="14"/>
  <c r="M14" i="14"/>
  <c r="I14" i="14"/>
  <c r="H14" i="14"/>
  <c r="G14" i="14"/>
  <c r="B14" i="14"/>
  <c r="A14" i="14"/>
  <c r="L13" i="14"/>
  <c r="H13" i="14"/>
  <c r="G13" i="14"/>
  <c r="D13" i="14"/>
  <c r="A13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M8" i="14"/>
  <c r="L8" i="14"/>
  <c r="L16" i="14" s="1"/>
  <c r="K8" i="14"/>
  <c r="J8" i="14"/>
  <c r="I8" i="14"/>
  <c r="I16" i="14" s="1"/>
  <c r="H8" i="14"/>
  <c r="H16" i="14" s="1"/>
  <c r="G8" i="14"/>
  <c r="G16" i="14" s="1"/>
  <c r="F8" i="14"/>
  <c r="F16" i="14" s="1"/>
  <c r="E8" i="14"/>
  <c r="D8" i="14"/>
  <c r="D16" i="14" s="1"/>
  <c r="C8" i="14"/>
  <c r="B8" i="14"/>
  <c r="A8" i="14"/>
  <c r="M7" i="14"/>
  <c r="M15" i="14" s="1"/>
  <c r="L7" i="14"/>
  <c r="K7" i="14"/>
  <c r="J7" i="14"/>
  <c r="J15" i="14" s="1"/>
  <c r="I7" i="14"/>
  <c r="I15" i="14" s="1"/>
  <c r="H7" i="14"/>
  <c r="G7" i="14"/>
  <c r="F7" i="14"/>
  <c r="F15" i="14" s="1"/>
  <c r="E7" i="14"/>
  <c r="E15" i="14" s="1"/>
  <c r="D7" i="14"/>
  <c r="C7" i="14"/>
  <c r="B7" i="14"/>
  <c r="A7" i="14"/>
  <c r="M6" i="14"/>
  <c r="L6" i="14"/>
  <c r="L14" i="14" s="1"/>
  <c r="K6" i="14"/>
  <c r="K14" i="14" s="1"/>
  <c r="J6" i="14"/>
  <c r="J14" i="14" s="1"/>
  <c r="I6" i="14"/>
  <c r="H6" i="14"/>
  <c r="G6" i="14"/>
  <c r="F6" i="14"/>
  <c r="F14" i="14" s="1"/>
  <c r="E6" i="14"/>
  <c r="E14" i="14" s="1"/>
  <c r="D6" i="14"/>
  <c r="C6" i="14"/>
  <c r="B6" i="14"/>
  <c r="N6" i="14" s="1"/>
  <c r="A6" i="14"/>
  <c r="M5" i="14"/>
  <c r="L5" i="14"/>
  <c r="K5" i="14"/>
  <c r="J5" i="14"/>
  <c r="C59" i="14" s="1"/>
  <c r="I5" i="14"/>
  <c r="H5" i="14"/>
  <c r="G5" i="14"/>
  <c r="F5" i="14"/>
  <c r="F13" i="14" s="1"/>
  <c r="E5" i="14"/>
  <c r="E13" i="14" s="1"/>
  <c r="D5" i="14"/>
  <c r="C5" i="14"/>
  <c r="C13" i="14" s="1"/>
  <c r="B5" i="14"/>
  <c r="A5" i="14"/>
  <c r="M4" i="14"/>
  <c r="B62" i="14" s="1"/>
  <c r="L4" i="14"/>
  <c r="K4" i="14"/>
  <c r="B60" i="14" s="1"/>
  <c r="J4" i="14"/>
  <c r="B59" i="14" s="1"/>
  <c r="I4" i="14"/>
  <c r="B58" i="14" s="1"/>
  <c r="H4" i="14"/>
  <c r="G4" i="14"/>
  <c r="B56" i="14" s="1"/>
  <c r="F4" i="14"/>
  <c r="B55" i="14" s="1"/>
  <c r="E4" i="14"/>
  <c r="B54" i="14" s="1"/>
  <c r="D4" i="14"/>
  <c r="C4" i="14"/>
  <c r="B52" i="14" s="1"/>
  <c r="B4" i="14"/>
  <c r="D1" i="14"/>
  <c r="B1" i="14"/>
  <c r="A1" i="14"/>
  <c r="B60" i="13"/>
  <c r="B59" i="13"/>
  <c r="B56" i="13"/>
  <c r="B54" i="13"/>
  <c r="C53" i="13"/>
  <c r="C52" i="13"/>
  <c r="B52" i="13"/>
  <c r="B51" i="13"/>
  <c r="M16" i="13"/>
  <c r="H16" i="13"/>
  <c r="F16" i="13"/>
  <c r="E16" i="13"/>
  <c r="A16" i="13"/>
  <c r="J15" i="13"/>
  <c r="I15" i="13"/>
  <c r="G15" i="13"/>
  <c r="F15" i="13"/>
  <c r="B15" i="13"/>
  <c r="A15" i="13"/>
  <c r="L14" i="13"/>
  <c r="K14" i="13"/>
  <c r="J14" i="13"/>
  <c r="H14" i="13"/>
  <c r="D14" i="13"/>
  <c r="A14" i="13"/>
  <c r="M13" i="13"/>
  <c r="K13" i="13"/>
  <c r="J13" i="13"/>
  <c r="E13" i="13"/>
  <c r="B13" i="13"/>
  <c r="A13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M8" i="13"/>
  <c r="L8" i="13"/>
  <c r="L16" i="13" s="1"/>
  <c r="K8" i="13"/>
  <c r="K16" i="13" s="1"/>
  <c r="J8" i="13"/>
  <c r="J16" i="13" s="1"/>
  <c r="I8" i="13"/>
  <c r="I16" i="13" s="1"/>
  <c r="H8" i="13"/>
  <c r="G8" i="13"/>
  <c r="G16" i="13" s="1"/>
  <c r="F8" i="13"/>
  <c r="E8" i="13"/>
  <c r="D8" i="13"/>
  <c r="D16" i="13" s="1"/>
  <c r="C8" i="13"/>
  <c r="C16" i="13" s="1"/>
  <c r="B8" i="13"/>
  <c r="A8" i="13"/>
  <c r="M7" i="13"/>
  <c r="M15" i="13" s="1"/>
  <c r="L7" i="13"/>
  <c r="L15" i="13" s="1"/>
  <c r="K7" i="13"/>
  <c r="K15" i="13" s="1"/>
  <c r="J7" i="13"/>
  <c r="I7" i="13"/>
  <c r="C58" i="13" s="1"/>
  <c r="H7" i="13"/>
  <c r="H15" i="13" s="1"/>
  <c r="G7" i="13"/>
  <c r="F7" i="13"/>
  <c r="E7" i="13"/>
  <c r="E15" i="13" s="1"/>
  <c r="D7" i="13"/>
  <c r="D15" i="13" s="1"/>
  <c r="C7" i="13"/>
  <c r="C15" i="13" s="1"/>
  <c r="B7" i="13"/>
  <c r="A7" i="13"/>
  <c r="M6" i="13"/>
  <c r="L6" i="13"/>
  <c r="K6" i="13"/>
  <c r="J6" i="13"/>
  <c r="I6" i="13"/>
  <c r="I14" i="13" s="1"/>
  <c r="H6" i="13"/>
  <c r="G6" i="13"/>
  <c r="G14" i="13" s="1"/>
  <c r="F6" i="13"/>
  <c r="F14" i="13" s="1"/>
  <c r="E6" i="13"/>
  <c r="E14" i="13" s="1"/>
  <c r="D6" i="13"/>
  <c r="C6" i="13"/>
  <c r="C14" i="13" s="1"/>
  <c r="B6" i="13"/>
  <c r="B14" i="13" s="1"/>
  <c r="A6" i="13"/>
  <c r="M5" i="13"/>
  <c r="L5" i="13"/>
  <c r="K5" i="13"/>
  <c r="C60" i="13" s="1"/>
  <c r="J5" i="13"/>
  <c r="I5" i="13"/>
  <c r="I13" i="13" s="1"/>
  <c r="H5" i="13"/>
  <c r="G5" i="13"/>
  <c r="F5" i="13"/>
  <c r="E5" i="13"/>
  <c r="D5" i="13"/>
  <c r="D13" i="13" s="1"/>
  <c r="C5" i="13"/>
  <c r="B5" i="13"/>
  <c r="A5" i="13"/>
  <c r="M4" i="13"/>
  <c r="B62" i="13" s="1"/>
  <c r="L4" i="13"/>
  <c r="B61" i="13" s="1"/>
  <c r="K4" i="13"/>
  <c r="J4" i="13"/>
  <c r="I4" i="13"/>
  <c r="B58" i="13" s="1"/>
  <c r="H4" i="13"/>
  <c r="B57" i="13" s="1"/>
  <c r="G4" i="13"/>
  <c r="F4" i="13"/>
  <c r="B55" i="13" s="1"/>
  <c r="E4" i="13"/>
  <c r="D4" i="13"/>
  <c r="B53" i="13" s="1"/>
  <c r="C4" i="13"/>
  <c r="B4" i="13"/>
  <c r="D1" i="13"/>
  <c r="B1" i="13"/>
  <c r="A1" i="13"/>
  <c r="B62" i="12"/>
  <c r="C59" i="12"/>
  <c r="B59" i="12"/>
  <c r="C58" i="12"/>
  <c r="B54" i="12"/>
  <c r="C52" i="12"/>
  <c r="B52" i="12"/>
  <c r="B51" i="12"/>
  <c r="M16" i="12"/>
  <c r="K16" i="12"/>
  <c r="H16" i="12"/>
  <c r="G16" i="12"/>
  <c r="F16" i="12"/>
  <c r="E16" i="12"/>
  <c r="C16" i="12"/>
  <c r="A16" i="12"/>
  <c r="K15" i="12"/>
  <c r="J15" i="12"/>
  <c r="I15" i="12"/>
  <c r="C15" i="12"/>
  <c r="A15" i="12"/>
  <c r="K14" i="12"/>
  <c r="J14" i="12"/>
  <c r="I14" i="12"/>
  <c r="G14" i="12"/>
  <c r="E14" i="12"/>
  <c r="A14" i="12"/>
  <c r="M13" i="12"/>
  <c r="K13" i="12"/>
  <c r="J13" i="12"/>
  <c r="H13" i="12"/>
  <c r="G13" i="12"/>
  <c r="E13" i="12"/>
  <c r="D13" i="12"/>
  <c r="B13" i="12"/>
  <c r="A13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M8" i="12"/>
  <c r="L8" i="12"/>
  <c r="L16" i="12" s="1"/>
  <c r="K8" i="12"/>
  <c r="J8" i="12"/>
  <c r="J16" i="12" s="1"/>
  <c r="I8" i="12"/>
  <c r="I16" i="12" s="1"/>
  <c r="H8" i="12"/>
  <c r="G8" i="12"/>
  <c r="C56" i="12" s="1"/>
  <c r="F8" i="12"/>
  <c r="E8" i="12"/>
  <c r="D8" i="12"/>
  <c r="D16" i="12" s="1"/>
  <c r="C8" i="12"/>
  <c r="B8" i="12"/>
  <c r="B16" i="12" s="1"/>
  <c r="A8" i="12"/>
  <c r="M7" i="12"/>
  <c r="M15" i="12" s="1"/>
  <c r="L7" i="12"/>
  <c r="L15" i="12" s="1"/>
  <c r="K7" i="12"/>
  <c r="J7" i="12"/>
  <c r="I7" i="12"/>
  <c r="H7" i="12"/>
  <c r="H15" i="12" s="1"/>
  <c r="G7" i="12"/>
  <c r="G15" i="12" s="1"/>
  <c r="F7" i="12"/>
  <c r="F15" i="12" s="1"/>
  <c r="E7" i="12"/>
  <c r="C54" i="12" s="1"/>
  <c r="D7" i="12"/>
  <c r="D15" i="12" s="1"/>
  <c r="C7" i="12"/>
  <c r="B7" i="12"/>
  <c r="A7" i="12"/>
  <c r="M6" i="12"/>
  <c r="L6" i="12"/>
  <c r="L14" i="12" s="1"/>
  <c r="K6" i="12"/>
  <c r="C60" i="12" s="1"/>
  <c r="J6" i="12"/>
  <c r="I6" i="12"/>
  <c r="H6" i="12"/>
  <c r="G6" i="12"/>
  <c r="F6" i="12"/>
  <c r="N6" i="12" s="1"/>
  <c r="E6" i="12"/>
  <c r="D6" i="12"/>
  <c r="D14" i="12" s="1"/>
  <c r="C6" i="12"/>
  <c r="C14" i="12" s="1"/>
  <c r="B6" i="12"/>
  <c r="B14" i="12" s="1"/>
  <c r="A6" i="12"/>
  <c r="M5" i="12"/>
  <c r="L5" i="12"/>
  <c r="L13" i="12" s="1"/>
  <c r="K5" i="12"/>
  <c r="J5" i="12"/>
  <c r="I5" i="12"/>
  <c r="I13" i="12" s="1"/>
  <c r="H5" i="12"/>
  <c r="G5" i="12"/>
  <c r="F5" i="12"/>
  <c r="E5" i="12"/>
  <c r="D5" i="12"/>
  <c r="C5" i="12"/>
  <c r="C13" i="12" s="1"/>
  <c r="B5" i="12"/>
  <c r="A5" i="12"/>
  <c r="M4" i="12"/>
  <c r="L4" i="12"/>
  <c r="B61" i="12" s="1"/>
  <c r="K4" i="12"/>
  <c r="B60" i="12" s="1"/>
  <c r="J4" i="12"/>
  <c r="I4" i="12"/>
  <c r="B58" i="12" s="1"/>
  <c r="H4" i="12"/>
  <c r="B57" i="12" s="1"/>
  <c r="G4" i="12"/>
  <c r="B56" i="12" s="1"/>
  <c r="F4" i="12"/>
  <c r="B55" i="12" s="1"/>
  <c r="E4" i="12"/>
  <c r="D4" i="12"/>
  <c r="B53" i="12" s="1"/>
  <c r="C4" i="12"/>
  <c r="B4" i="12"/>
  <c r="D1" i="12"/>
  <c r="B1" i="12"/>
  <c r="A1" i="12"/>
  <c r="B62" i="11"/>
  <c r="C61" i="11"/>
  <c r="B61" i="11"/>
  <c r="B57" i="11"/>
  <c r="B56" i="11"/>
  <c r="B55" i="11"/>
  <c r="B54" i="11"/>
  <c r="B53" i="11"/>
  <c r="C52" i="11"/>
  <c r="B52" i="11"/>
  <c r="J16" i="11"/>
  <c r="G16" i="11"/>
  <c r="F16" i="11"/>
  <c r="A16" i="11"/>
  <c r="M15" i="11"/>
  <c r="L15" i="11"/>
  <c r="K15" i="11"/>
  <c r="I15" i="11"/>
  <c r="H15" i="11"/>
  <c r="G15" i="11"/>
  <c r="E15" i="11"/>
  <c r="D15" i="11"/>
  <c r="C15" i="11"/>
  <c r="A15" i="11"/>
  <c r="L14" i="11"/>
  <c r="K14" i="11"/>
  <c r="J14" i="11"/>
  <c r="I14" i="11"/>
  <c r="F14" i="11"/>
  <c r="C14" i="11"/>
  <c r="B14" i="11"/>
  <c r="A14" i="11"/>
  <c r="I13" i="11"/>
  <c r="H13" i="11"/>
  <c r="G13" i="11"/>
  <c r="F13" i="11"/>
  <c r="C13" i="11"/>
  <c r="B13" i="11"/>
  <c r="A13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M8" i="11"/>
  <c r="M16" i="11" s="1"/>
  <c r="L8" i="11"/>
  <c r="L16" i="11" s="1"/>
  <c r="K8" i="11"/>
  <c r="K16" i="11" s="1"/>
  <c r="J8" i="11"/>
  <c r="I8" i="11"/>
  <c r="I16" i="11" s="1"/>
  <c r="H8" i="11"/>
  <c r="H16" i="11" s="1"/>
  <c r="G8" i="11"/>
  <c r="F8" i="11"/>
  <c r="E8" i="11"/>
  <c r="E16" i="11" s="1"/>
  <c r="D8" i="11"/>
  <c r="D16" i="11" s="1"/>
  <c r="C8" i="11"/>
  <c r="C16" i="11" s="1"/>
  <c r="B8" i="11"/>
  <c r="A8" i="11"/>
  <c r="M7" i="11"/>
  <c r="L7" i="11"/>
  <c r="K7" i="11"/>
  <c r="J7" i="11"/>
  <c r="J15" i="11" s="1"/>
  <c r="I7" i="11"/>
  <c r="H7" i="11"/>
  <c r="G7" i="11"/>
  <c r="F7" i="11"/>
  <c r="F15" i="11" s="1"/>
  <c r="E7" i="11"/>
  <c r="D7" i="11"/>
  <c r="C7" i="11"/>
  <c r="B7" i="11"/>
  <c r="A7" i="11"/>
  <c r="M6" i="11"/>
  <c r="M14" i="11" s="1"/>
  <c r="L6" i="11"/>
  <c r="K6" i="11"/>
  <c r="J6" i="11"/>
  <c r="I6" i="11"/>
  <c r="H6" i="11"/>
  <c r="H14" i="11" s="1"/>
  <c r="G6" i="11"/>
  <c r="F6" i="11"/>
  <c r="E6" i="11"/>
  <c r="E14" i="11" s="1"/>
  <c r="D6" i="11"/>
  <c r="D14" i="11" s="1"/>
  <c r="C6" i="11"/>
  <c r="B6" i="11"/>
  <c r="A6" i="11"/>
  <c r="M5" i="11"/>
  <c r="C62" i="11" s="1"/>
  <c r="L5" i="11"/>
  <c r="L13" i="11" s="1"/>
  <c r="K5" i="11"/>
  <c r="C60" i="11" s="1"/>
  <c r="J5" i="11"/>
  <c r="J13" i="11" s="1"/>
  <c r="I5" i="11"/>
  <c r="H5" i="11"/>
  <c r="G5" i="11"/>
  <c r="F5" i="11"/>
  <c r="C55" i="11" s="1"/>
  <c r="E5" i="11"/>
  <c r="D5" i="11"/>
  <c r="D13" i="11" s="1"/>
  <c r="C5" i="11"/>
  <c r="B5" i="11"/>
  <c r="A5" i="11"/>
  <c r="M4" i="11"/>
  <c r="L4" i="11"/>
  <c r="K4" i="11"/>
  <c r="B60" i="11" s="1"/>
  <c r="J4" i="11"/>
  <c r="B59" i="11" s="1"/>
  <c r="I4" i="11"/>
  <c r="B58" i="11" s="1"/>
  <c r="H4" i="11"/>
  <c r="G4" i="11"/>
  <c r="F4" i="11"/>
  <c r="E4" i="11"/>
  <c r="D4" i="11"/>
  <c r="C4" i="11"/>
  <c r="B4" i="11"/>
  <c r="B51" i="11" s="1"/>
  <c r="D1" i="11"/>
  <c r="B1" i="11"/>
  <c r="A1" i="11"/>
  <c r="B62" i="10"/>
  <c r="B55" i="10"/>
  <c r="B54" i="10"/>
  <c r="C53" i="10"/>
  <c r="L16" i="10"/>
  <c r="K16" i="10"/>
  <c r="I16" i="10"/>
  <c r="H16" i="10"/>
  <c r="F16" i="10"/>
  <c r="A16" i="10"/>
  <c r="M15" i="10"/>
  <c r="L15" i="10"/>
  <c r="I15" i="10"/>
  <c r="G15" i="10"/>
  <c r="E15" i="10"/>
  <c r="D15" i="10"/>
  <c r="A15" i="10"/>
  <c r="M14" i="10"/>
  <c r="K14" i="10"/>
  <c r="J14" i="10"/>
  <c r="D14" i="10"/>
  <c r="B14" i="10"/>
  <c r="A14" i="10"/>
  <c r="M13" i="10"/>
  <c r="K13" i="10"/>
  <c r="H13" i="10"/>
  <c r="E13" i="10"/>
  <c r="C13" i="10"/>
  <c r="B13" i="10"/>
  <c r="A13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M8" i="10"/>
  <c r="M16" i="10" s="1"/>
  <c r="L8" i="10"/>
  <c r="K8" i="10"/>
  <c r="J8" i="10"/>
  <c r="J16" i="10" s="1"/>
  <c r="I8" i="10"/>
  <c r="H8" i="10"/>
  <c r="G8" i="10"/>
  <c r="G16" i="10" s="1"/>
  <c r="F8" i="10"/>
  <c r="E8" i="10"/>
  <c r="E16" i="10" s="1"/>
  <c r="D8" i="10"/>
  <c r="D16" i="10" s="1"/>
  <c r="C8" i="10"/>
  <c r="C16" i="10" s="1"/>
  <c r="B8" i="10"/>
  <c r="N8" i="10" s="1"/>
  <c r="A8" i="10"/>
  <c r="M7" i="10"/>
  <c r="L7" i="10"/>
  <c r="K7" i="10"/>
  <c r="J7" i="10"/>
  <c r="J15" i="10" s="1"/>
  <c r="I7" i="10"/>
  <c r="H7" i="10"/>
  <c r="H15" i="10" s="1"/>
  <c r="G7" i="10"/>
  <c r="F7" i="10"/>
  <c r="F15" i="10" s="1"/>
  <c r="E7" i="10"/>
  <c r="D7" i="10"/>
  <c r="C7" i="10"/>
  <c r="C52" i="10" s="1"/>
  <c r="B7" i="10"/>
  <c r="B15" i="10" s="1"/>
  <c r="A7" i="10"/>
  <c r="M6" i="10"/>
  <c r="L6" i="10"/>
  <c r="L14" i="10" s="1"/>
  <c r="K6" i="10"/>
  <c r="J6" i="10"/>
  <c r="I6" i="10"/>
  <c r="I14" i="10" s="1"/>
  <c r="H6" i="10"/>
  <c r="H14" i="10" s="1"/>
  <c r="G6" i="10"/>
  <c r="G14" i="10" s="1"/>
  <c r="F6" i="10"/>
  <c r="N6" i="10" s="1"/>
  <c r="F7" i="4" s="1"/>
  <c r="E6" i="10"/>
  <c r="E14" i="10" s="1"/>
  <c r="D6" i="10"/>
  <c r="C6" i="10"/>
  <c r="C14" i="10" s="1"/>
  <c r="B6" i="10"/>
  <c r="A6" i="10"/>
  <c r="M5" i="10"/>
  <c r="L5" i="10"/>
  <c r="K5" i="10"/>
  <c r="J5" i="10"/>
  <c r="C59" i="10" s="1"/>
  <c r="I5" i="10"/>
  <c r="I13" i="10" s="1"/>
  <c r="H5" i="10"/>
  <c r="G5" i="10"/>
  <c r="G13" i="10" s="1"/>
  <c r="F5" i="10"/>
  <c r="F13" i="10" s="1"/>
  <c r="E5" i="10"/>
  <c r="D5" i="10"/>
  <c r="D13" i="10" s="1"/>
  <c r="C5" i="10"/>
  <c r="B5" i="10"/>
  <c r="A5" i="10"/>
  <c r="M4" i="10"/>
  <c r="L4" i="10"/>
  <c r="B61" i="10" s="1"/>
  <c r="K4" i="10"/>
  <c r="B60" i="10" s="1"/>
  <c r="J4" i="10"/>
  <c r="B59" i="10" s="1"/>
  <c r="I4" i="10"/>
  <c r="B58" i="10" s="1"/>
  <c r="H4" i="10"/>
  <c r="B57" i="10" s="1"/>
  <c r="G4" i="10"/>
  <c r="B56" i="10" s="1"/>
  <c r="F4" i="10"/>
  <c r="E4" i="10"/>
  <c r="D4" i="10"/>
  <c r="B53" i="10" s="1"/>
  <c r="C4" i="10"/>
  <c r="B52" i="10" s="1"/>
  <c r="B4" i="10"/>
  <c r="B51" i="10" s="1"/>
  <c r="D1" i="10"/>
  <c r="B1" i="10"/>
  <c r="A1" i="10"/>
  <c r="B59" i="9"/>
  <c r="B58" i="9"/>
  <c r="B57" i="9"/>
  <c r="B54" i="9"/>
  <c r="B51" i="9"/>
  <c r="L16" i="9"/>
  <c r="K16" i="9"/>
  <c r="J16" i="9"/>
  <c r="I16" i="9"/>
  <c r="D16" i="9"/>
  <c r="C16" i="9"/>
  <c r="B16" i="9"/>
  <c r="A16" i="9"/>
  <c r="J15" i="9"/>
  <c r="I15" i="9"/>
  <c r="H15" i="9"/>
  <c r="G15" i="9"/>
  <c r="F15" i="9"/>
  <c r="A15" i="9"/>
  <c r="M14" i="9"/>
  <c r="H14" i="9"/>
  <c r="G14" i="9"/>
  <c r="E14" i="9"/>
  <c r="C14" i="9"/>
  <c r="A14" i="9"/>
  <c r="M13" i="9"/>
  <c r="L13" i="9"/>
  <c r="K13" i="9"/>
  <c r="I13" i="9"/>
  <c r="F13" i="9"/>
  <c r="E13" i="9"/>
  <c r="D13" i="9"/>
  <c r="C13" i="9"/>
  <c r="A13" i="9"/>
  <c r="M12" i="9"/>
  <c r="L12" i="9"/>
  <c r="K12" i="9"/>
  <c r="J12" i="9"/>
  <c r="I12" i="9"/>
  <c r="H12" i="9"/>
  <c r="G12" i="9"/>
  <c r="F12" i="9"/>
  <c r="E12" i="9"/>
  <c r="D12" i="9"/>
  <c r="C12" i="9"/>
  <c r="B12" i="9"/>
  <c r="M8" i="9"/>
  <c r="M16" i="9" s="1"/>
  <c r="L8" i="9"/>
  <c r="K8" i="9"/>
  <c r="J8" i="9"/>
  <c r="I8" i="9"/>
  <c r="H8" i="9"/>
  <c r="H16" i="9" s="1"/>
  <c r="G8" i="9"/>
  <c r="G16" i="9" s="1"/>
  <c r="F8" i="9"/>
  <c r="F16" i="9" s="1"/>
  <c r="E8" i="9"/>
  <c r="E16" i="9" s="1"/>
  <c r="D8" i="9"/>
  <c r="C8" i="9"/>
  <c r="B8" i="9"/>
  <c r="A8" i="9"/>
  <c r="M7" i="9"/>
  <c r="M15" i="9" s="1"/>
  <c r="L7" i="9"/>
  <c r="L15" i="9" s="1"/>
  <c r="K7" i="9"/>
  <c r="K15" i="9" s="1"/>
  <c r="J7" i="9"/>
  <c r="I7" i="9"/>
  <c r="H7" i="9"/>
  <c r="G7" i="9"/>
  <c r="F7" i="9"/>
  <c r="E7" i="9"/>
  <c r="E15" i="9" s="1"/>
  <c r="D7" i="9"/>
  <c r="D15" i="9" s="1"/>
  <c r="C7" i="9"/>
  <c r="N7" i="9" s="1"/>
  <c r="G6" i="4" s="1"/>
  <c r="B7" i="9"/>
  <c r="B15" i="9" s="1"/>
  <c r="A7" i="9"/>
  <c r="M6" i="9"/>
  <c r="L6" i="9"/>
  <c r="L14" i="9" s="1"/>
  <c r="K6" i="9"/>
  <c r="K14" i="9" s="1"/>
  <c r="J6" i="9"/>
  <c r="J14" i="9" s="1"/>
  <c r="I6" i="9"/>
  <c r="I14" i="9" s="1"/>
  <c r="H6" i="9"/>
  <c r="G6" i="9"/>
  <c r="F6" i="9"/>
  <c r="F14" i="9" s="1"/>
  <c r="E6" i="9"/>
  <c r="D6" i="9"/>
  <c r="D14" i="9" s="1"/>
  <c r="C6" i="9"/>
  <c r="B6" i="9"/>
  <c r="B14" i="9" s="1"/>
  <c r="A6" i="9"/>
  <c r="M5" i="9"/>
  <c r="L5" i="9"/>
  <c r="K5" i="9"/>
  <c r="J5" i="9"/>
  <c r="J13" i="9" s="1"/>
  <c r="I5" i="9"/>
  <c r="C58" i="9" s="1"/>
  <c r="H5" i="9"/>
  <c r="H13" i="9" s="1"/>
  <c r="G5" i="9"/>
  <c r="G13" i="9" s="1"/>
  <c r="F5" i="9"/>
  <c r="E5" i="9"/>
  <c r="D5" i="9"/>
  <c r="C53" i="9" s="1"/>
  <c r="C5" i="9"/>
  <c r="B5" i="9"/>
  <c r="B13" i="9" s="1"/>
  <c r="A5" i="9"/>
  <c r="M4" i="9"/>
  <c r="B62" i="9" s="1"/>
  <c r="L4" i="9"/>
  <c r="B61" i="9" s="1"/>
  <c r="K4" i="9"/>
  <c r="B60" i="9" s="1"/>
  <c r="J4" i="9"/>
  <c r="I4" i="9"/>
  <c r="H4" i="9"/>
  <c r="G4" i="9"/>
  <c r="B56" i="9" s="1"/>
  <c r="F4" i="9"/>
  <c r="B55" i="9" s="1"/>
  <c r="E4" i="9"/>
  <c r="D4" i="9"/>
  <c r="B53" i="9" s="1"/>
  <c r="C4" i="9"/>
  <c r="B52" i="9" s="1"/>
  <c r="B4" i="9"/>
  <c r="D1" i="9"/>
  <c r="B1" i="9"/>
  <c r="A1" i="9"/>
  <c r="C62" i="8"/>
  <c r="B60" i="8"/>
  <c r="B59" i="8"/>
  <c r="B58" i="8"/>
  <c r="B56" i="8"/>
  <c r="B54" i="8"/>
  <c r="B52" i="8"/>
  <c r="C51" i="8"/>
  <c r="B51" i="8"/>
  <c r="L16" i="8"/>
  <c r="J16" i="8"/>
  <c r="H16" i="8"/>
  <c r="E16" i="8"/>
  <c r="D16" i="8"/>
  <c r="B16" i="8"/>
  <c r="A16" i="8"/>
  <c r="L15" i="8"/>
  <c r="K15" i="8"/>
  <c r="J15" i="8"/>
  <c r="G15" i="8"/>
  <c r="B15" i="8"/>
  <c r="A15" i="8"/>
  <c r="L14" i="8"/>
  <c r="J14" i="8"/>
  <c r="I14" i="8"/>
  <c r="H14" i="8"/>
  <c r="F14" i="8"/>
  <c r="D14" i="8"/>
  <c r="A14" i="8"/>
  <c r="M13" i="8"/>
  <c r="L13" i="8"/>
  <c r="F13" i="8"/>
  <c r="E13" i="8"/>
  <c r="D13" i="8"/>
  <c r="A13" i="8"/>
  <c r="M12" i="8"/>
  <c r="L12" i="8"/>
  <c r="K12" i="8"/>
  <c r="J12" i="8"/>
  <c r="I12" i="8"/>
  <c r="H12" i="8"/>
  <c r="G12" i="8"/>
  <c r="F12" i="8"/>
  <c r="E12" i="8"/>
  <c r="D12" i="8"/>
  <c r="C12" i="8"/>
  <c r="B12" i="8"/>
  <c r="M8" i="8"/>
  <c r="M16" i="8" s="1"/>
  <c r="L8" i="8"/>
  <c r="K8" i="8"/>
  <c r="K16" i="8" s="1"/>
  <c r="J8" i="8"/>
  <c r="I8" i="8"/>
  <c r="I16" i="8" s="1"/>
  <c r="H8" i="8"/>
  <c r="G8" i="8"/>
  <c r="G16" i="8" s="1"/>
  <c r="F8" i="8"/>
  <c r="F16" i="8" s="1"/>
  <c r="E8" i="8"/>
  <c r="D8" i="8"/>
  <c r="C8" i="8"/>
  <c r="C16" i="8" s="1"/>
  <c r="B8" i="8"/>
  <c r="A8" i="8"/>
  <c r="M7" i="8"/>
  <c r="M15" i="8" s="1"/>
  <c r="L7" i="8"/>
  <c r="K7" i="8"/>
  <c r="J7" i="8"/>
  <c r="I7" i="8"/>
  <c r="I15" i="8" s="1"/>
  <c r="H7" i="8"/>
  <c r="H15" i="8" s="1"/>
  <c r="G7" i="8"/>
  <c r="F7" i="8"/>
  <c r="F15" i="8" s="1"/>
  <c r="E7" i="8"/>
  <c r="E15" i="8" s="1"/>
  <c r="D7" i="8"/>
  <c r="D15" i="8" s="1"/>
  <c r="C7" i="8"/>
  <c r="C15" i="8" s="1"/>
  <c r="B7" i="8"/>
  <c r="A7" i="8"/>
  <c r="M6" i="8"/>
  <c r="M14" i="8" s="1"/>
  <c r="L6" i="8"/>
  <c r="K6" i="8"/>
  <c r="K14" i="8" s="1"/>
  <c r="J6" i="8"/>
  <c r="C59" i="8" s="1"/>
  <c r="I6" i="8"/>
  <c r="C58" i="8" s="1"/>
  <c r="H6" i="8"/>
  <c r="G6" i="8"/>
  <c r="G14" i="8" s="1"/>
  <c r="F6" i="8"/>
  <c r="E6" i="8"/>
  <c r="E14" i="8" s="1"/>
  <c r="D6" i="8"/>
  <c r="C6" i="8"/>
  <c r="C14" i="8" s="1"/>
  <c r="B6" i="8"/>
  <c r="A6" i="8"/>
  <c r="M5" i="8"/>
  <c r="L5" i="8"/>
  <c r="K5" i="8"/>
  <c r="C60" i="8" s="1"/>
  <c r="J5" i="8"/>
  <c r="J13" i="8" s="1"/>
  <c r="I5" i="8"/>
  <c r="I13" i="8" s="1"/>
  <c r="H5" i="8"/>
  <c r="G5" i="8"/>
  <c r="G13" i="8" s="1"/>
  <c r="F5" i="8"/>
  <c r="E5" i="8"/>
  <c r="C54" i="8" s="1"/>
  <c r="D5" i="8"/>
  <c r="C53" i="8" s="1"/>
  <c r="C5" i="8"/>
  <c r="C52" i="8" s="1"/>
  <c r="B5" i="8"/>
  <c r="A5" i="8"/>
  <c r="M4" i="8"/>
  <c r="B62" i="8" s="1"/>
  <c r="L4" i="8"/>
  <c r="B61" i="8" s="1"/>
  <c r="K4" i="8"/>
  <c r="J4" i="8"/>
  <c r="I4" i="8"/>
  <c r="H4" i="8"/>
  <c r="B57" i="8" s="1"/>
  <c r="G4" i="8"/>
  <c r="F4" i="8"/>
  <c r="B55" i="8" s="1"/>
  <c r="E4" i="8"/>
  <c r="D4" i="8"/>
  <c r="B53" i="8" s="1"/>
  <c r="C4" i="8"/>
  <c r="B4" i="8"/>
  <c r="D1" i="8"/>
  <c r="B1" i="8"/>
  <c r="A1" i="8"/>
  <c r="B61" i="7"/>
  <c r="B57" i="7"/>
  <c r="C56" i="7"/>
  <c r="C52" i="7"/>
  <c r="B52" i="7"/>
  <c r="I16" i="7"/>
  <c r="H16" i="7"/>
  <c r="G16" i="7"/>
  <c r="A16" i="7"/>
  <c r="M15" i="7"/>
  <c r="L15" i="7"/>
  <c r="J15" i="7"/>
  <c r="G15" i="7"/>
  <c r="F15" i="7"/>
  <c r="E15" i="7"/>
  <c r="B15" i="7"/>
  <c r="A15" i="7"/>
  <c r="K14" i="7"/>
  <c r="E14" i="7"/>
  <c r="C14" i="7"/>
  <c r="A14" i="7"/>
  <c r="K13" i="7"/>
  <c r="J13" i="7"/>
  <c r="I13" i="7"/>
  <c r="C13" i="7"/>
  <c r="B13" i="7"/>
  <c r="A13" i="7"/>
  <c r="M12" i="7"/>
  <c r="L12" i="7"/>
  <c r="K12" i="7"/>
  <c r="J12" i="7"/>
  <c r="I12" i="7"/>
  <c r="H12" i="7"/>
  <c r="G12" i="7"/>
  <c r="F12" i="7"/>
  <c r="E12" i="7"/>
  <c r="D12" i="7"/>
  <c r="C12" i="7"/>
  <c r="B12" i="7"/>
  <c r="M8" i="7"/>
  <c r="M16" i="7" s="1"/>
  <c r="L8" i="7"/>
  <c r="L16" i="7" s="1"/>
  <c r="K8" i="7"/>
  <c r="K16" i="7" s="1"/>
  <c r="J8" i="7"/>
  <c r="J16" i="7" s="1"/>
  <c r="I8" i="7"/>
  <c r="H8" i="7"/>
  <c r="G8" i="7"/>
  <c r="F8" i="7"/>
  <c r="F16" i="7" s="1"/>
  <c r="E8" i="7"/>
  <c r="E16" i="7" s="1"/>
  <c r="D8" i="7"/>
  <c r="D16" i="7" s="1"/>
  <c r="C8" i="7"/>
  <c r="C16" i="7" s="1"/>
  <c r="B8" i="7"/>
  <c r="B16" i="7" s="1"/>
  <c r="A8" i="7"/>
  <c r="M7" i="7"/>
  <c r="L7" i="7"/>
  <c r="K7" i="7"/>
  <c r="K15" i="7" s="1"/>
  <c r="J7" i="7"/>
  <c r="I7" i="7"/>
  <c r="I15" i="7" s="1"/>
  <c r="H7" i="7"/>
  <c r="H15" i="7" s="1"/>
  <c r="G7" i="7"/>
  <c r="F7" i="7"/>
  <c r="E7" i="7"/>
  <c r="D7" i="7"/>
  <c r="D15" i="7" s="1"/>
  <c r="C7" i="7"/>
  <c r="C15" i="7" s="1"/>
  <c r="B7" i="7"/>
  <c r="N7" i="7" s="1"/>
  <c r="G4" i="4" s="1"/>
  <c r="A7" i="7"/>
  <c r="M6" i="7"/>
  <c r="M14" i="7" s="1"/>
  <c r="L6" i="7"/>
  <c r="L14" i="7" s="1"/>
  <c r="K6" i="7"/>
  <c r="J6" i="7"/>
  <c r="J14" i="7" s="1"/>
  <c r="I6" i="7"/>
  <c r="I14" i="7" s="1"/>
  <c r="H6" i="7"/>
  <c r="H14" i="7" s="1"/>
  <c r="G6" i="7"/>
  <c r="G14" i="7" s="1"/>
  <c r="F6" i="7"/>
  <c r="F14" i="7" s="1"/>
  <c r="E6" i="7"/>
  <c r="D6" i="7"/>
  <c r="D14" i="7" s="1"/>
  <c r="C6" i="7"/>
  <c r="B6" i="7"/>
  <c r="B14" i="7" s="1"/>
  <c r="A6" i="7"/>
  <c r="M5" i="7"/>
  <c r="M13" i="7" s="1"/>
  <c r="L5" i="7"/>
  <c r="L13" i="7" s="1"/>
  <c r="K5" i="7"/>
  <c r="C60" i="7" s="1"/>
  <c r="J5" i="7"/>
  <c r="I5" i="7"/>
  <c r="H5" i="7"/>
  <c r="C57" i="7" s="1"/>
  <c r="G5" i="7"/>
  <c r="G13" i="7" s="1"/>
  <c r="F5" i="7"/>
  <c r="C55" i="7" s="1"/>
  <c r="E5" i="7"/>
  <c r="E13" i="7" s="1"/>
  <c r="D5" i="7"/>
  <c r="C53" i="7" s="1"/>
  <c r="C5" i="7"/>
  <c r="B5" i="7"/>
  <c r="C51" i="7" s="1"/>
  <c r="A5" i="7"/>
  <c r="M4" i="7"/>
  <c r="B62" i="7" s="1"/>
  <c r="L4" i="7"/>
  <c r="K4" i="7"/>
  <c r="B60" i="7" s="1"/>
  <c r="J4" i="7"/>
  <c r="B59" i="7" s="1"/>
  <c r="I4" i="7"/>
  <c r="B58" i="7" s="1"/>
  <c r="H4" i="7"/>
  <c r="G4" i="7"/>
  <c r="B56" i="7" s="1"/>
  <c r="F4" i="7"/>
  <c r="B55" i="7" s="1"/>
  <c r="E4" i="7"/>
  <c r="B54" i="7" s="1"/>
  <c r="D4" i="7"/>
  <c r="B53" i="7" s="1"/>
  <c r="C4" i="7"/>
  <c r="B4" i="7"/>
  <c r="B51" i="7" s="1"/>
  <c r="D1" i="7"/>
  <c r="B1" i="7"/>
  <c r="A1" i="7"/>
  <c r="B62" i="6"/>
  <c r="C61" i="6"/>
  <c r="B61" i="6"/>
  <c r="B58" i="6"/>
  <c r="C57" i="6"/>
  <c r="B57" i="6"/>
  <c r="B56" i="6"/>
  <c r="B53" i="6"/>
  <c r="B52" i="6"/>
  <c r="J16" i="6"/>
  <c r="H16" i="6"/>
  <c r="G16" i="6"/>
  <c r="F16" i="6"/>
  <c r="B16" i="6"/>
  <c r="A16" i="6"/>
  <c r="M15" i="6"/>
  <c r="L15" i="6"/>
  <c r="H15" i="6"/>
  <c r="G15" i="6"/>
  <c r="D15" i="6"/>
  <c r="C15" i="6"/>
  <c r="A15" i="6"/>
  <c r="M14" i="6"/>
  <c r="L14" i="6"/>
  <c r="F14" i="6"/>
  <c r="B14" i="6"/>
  <c r="A14" i="6"/>
  <c r="L13" i="6"/>
  <c r="K13" i="6"/>
  <c r="J13" i="6"/>
  <c r="D13" i="6"/>
  <c r="C13" i="6"/>
  <c r="B13" i="6"/>
  <c r="A13" i="6"/>
  <c r="M12" i="6"/>
  <c r="L12" i="6"/>
  <c r="K12" i="6"/>
  <c r="J12" i="6"/>
  <c r="I12" i="6"/>
  <c r="H12" i="6"/>
  <c r="G12" i="6"/>
  <c r="F12" i="6"/>
  <c r="E12" i="6"/>
  <c r="D12" i="6"/>
  <c r="C12" i="6"/>
  <c r="B12" i="6"/>
  <c r="M8" i="6"/>
  <c r="M16" i="6" s="1"/>
  <c r="L8" i="6"/>
  <c r="L16" i="6" s="1"/>
  <c r="K8" i="6"/>
  <c r="K16" i="6" s="1"/>
  <c r="J8" i="6"/>
  <c r="I8" i="6"/>
  <c r="I16" i="6" s="1"/>
  <c r="H8" i="6"/>
  <c r="G8" i="6"/>
  <c r="F8" i="6"/>
  <c r="E8" i="6"/>
  <c r="E16" i="6" s="1"/>
  <c r="D8" i="6"/>
  <c r="D16" i="6" s="1"/>
  <c r="C8" i="6"/>
  <c r="N8" i="6" s="1"/>
  <c r="H3" i="4" s="1"/>
  <c r="B8" i="6"/>
  <c r="A8" i="6"/>
  <c r="M7" i="6"/>
  <c r="L7" i="6"/>
  <c r="K7" i="6"/>
  <c r="K15" i="6" s="1"/>
  <c r="J7" i="6"/>
  <c r="J15" i="6" s="1"/>
  <c r="I7" i="6"/>
  <c r="I15" i="6" s="1"/>
  <c r="H7" i="6"/>
  <c r="G7" i="6"/>
  <c r="F7" i="6"/>
  <c r="F15" i="6" s="1"/>
  <c r="E7" i="6"/>
  <c r="E15" i="6" s="1"/>
  <c r="D7" i="6"/>
  <c r="C53" i="6" s="1"/>
  <c r="C7" i="6"/>
  <c r="B7" i="6"/>
  <c r="C51" i="6" s="1"/>
  <c r="A7" i="6"/>
  <c r="M6" i="6"/>
  <c r="L6" i="6"/>
  <c r="K6" i="6"/>
  <c r="K14" i="6" s="1"/>
  <c r="J6" i="6"/>
  <c r="J14" i="6" s="1"/>
  <c r="I6" i="6"/>
  <c r="I14" i="6" s="1"/>
  <c r="H6" i="6"/>
  <c r="H14" i="6" s="1"/>
  <c r="G6" i="6"/>
  <c r="G14" i="6" s="1"/>
  <c r="F6" i="6"/>
  <c r="E6" i="6"/>
  <c r="E14" i="6" s="1"/>
  <c r="D6" i="6"/>
  <c r="D14" i="6" s="1"/>
  <c r="C6" i="6"/>
  <c r="C14" i="6" s="1"/>
  <c r="B6" i="6"/>
  <c r="A6" i="6"/>
  <c r="M5" i="6"/>
  <c r="C62" i="6" s="1"/>
  <c r="L5" i="6"/>
  <c r="K5" i="6"/>
  <c r="J5" i="6"/>
  <c r="C59" i="6" s="1"/>
  <c r="I5" i="6"/>
  <c r="C58" i="6" s="1"/>
  <c r="H5" i="6"/>
  <c r="H13" i="6" s="1"/>
  <c r="G5" i="6"/>
  <c r="G13" i="6" s="1"/>
  <c r="F5" i="6"/>
  <c r="C55" i="6" s="1"/>
  <c r="E5" i="6"/>
  <c r="E13" i="6" s="1"/>
  <c r="D5" i="6"/>
  <c r="C5" i="6"/>
  <c r="B5" i="6"/>
  <c r="A5" i="6"/>
  <c r="M4" i="6"/>
  <c r="L4" i="6"/>
  <c r="K4" i="6"/>
  <c r="B60" i="6" s="1"/>
  <c r="J4" i="6"/>
  <c r="B59" i="6" s="1"/>
  <c r="I4" i="6"/>
  <c r="H4" i="6"/>
  <c r="G4" i="6"/>
  <c r="F4" i="6"/>
  <c r="B55" i="6" s="1"/>
  <c r="E4" i="6"/>
  <c r="B54" i="6" s="1"/>
  <c r="D4" i="6"/>
  <c r="C4" i="6"/>
  <c r="B4" i="6"/>
  <c r="B51" i="6" s="1"/>
  <c r="D1" i="6"/>
  <c r="B1" i="6"/>
  <c r="A1" i="6"/>
  <c r="C62" i="5"/>
  <c r="B62" i="5"/>
  <c r="B59" i="5"/>
  <c r="B58" i="5"/>
  <c r="B56" i="5"/>
  <c r="B54" i="5"/>
  <c r="B51" i="5"/>
  <c r="L16" i="5"/>
  <c r="K16" i="5"/>
  <c r="H16" i="5"/>
  <c r="G16" i="5"/>
  <c r="D16" i="5"/>
  <c r="C16" i="5"/>
  <c r="A16" i="5"/>
  <c r="M15" i="5"/>
  <c r="I15" i="5"/>
  <c r="H15" i="5"/>
  <c r="E15" i="5"/>
  <c r="A15" i="5"/>
  <c r="M14" i="5"/>
  <c r="G14" i="5"/>
  <c r="F14" i="5"/>
  <c r="E14" i="5"/>
  <c r="A14" i="5"/>
  <c r="M13" i="5"/>
  <c r="L13" i="5"/>
  <c r="K13" i="5"/>
  <c r="J13" i="5"/>
  <c r="E13" i="5"/>
  <c r="D13" i="5"/>
  <c r="C13" i="5"/>
  <c r="B13" i="5"/>
  <c r="A13" i="5"/>
  <c r="M12" i="5"/>
  <c r="L12" i="5"/>
  <c r="K12" i="5"/>
  <c r="J12" i="5"/>
  <c r="I12" i="5"/>
  <c r="H12" i="5"/>
  <c r="G12" i="5"/>
  <c r="F12" i="5"/>
  <c r="E12" i="5"/>
  <c r="D12" i="5"/>
  <c r="C12" i="5"/>
  <c r="B12" i="5"/>
  <c r="M8" i="5"/>
  <c r="M16" i="5" s="1"/>
  <c r="L8" i="5"/>
  <c r="C61" i="5" s="1"/>
  <c r="K8" i="5"/>
  <c r="J8" i="5"/>
  <c r="J16" i="5" s="1"/>
  <c r="I8" i="5"/>
  <c r="I16" i="5" s="1"/>
  <c r="H8" i="5"/>
  <c r="G8" i="5"/>
  <c r="F8" i="5"/>
  <c r="F16" i="5" s="1"/>
  <c r="E8" i="5"/>
  <c r="C54" i="5" s="1"/>
  <c r="D8" i="5"/>
  <c r="C53" i="5" s="1"/>
  <c r="C8" i="5"/>
  <c r="B8" i="5"/>
  <c r="B16" i="5" s="1"/>
  <c r="A8" i="5"/>
  <c r="M7" i="5"/>
  <c r="L7" i="5"/>
  <c r="L15" i="5" s="1"/>
  <c r="K7" i="5"/>
  <c r="K15" i="5" s="1"/>
  <c r="J7" i="5"/>
  <c r="J15" i="5" s="1"/>
  <c r="I7" i="5"/>
  <c r="H7" i="5"/>
  <c r="G7" i="5"/>
  <c r="G15" i="5" s="1"/>
  <c r="F7" i="5"/>
  <c r="F15" i="5" s="1"/>
  <c r="E7" i="5"/>
  <c r="D7" i="5"/>
  <c r="D15" i="5" s="1"/>
  <c r="C7" i="5"/>
  <c r="C15" i="5" s="1"/>
  <c r="B7" i="5"/>
  <c r="N7" i="5" s="1"/>
  <c r="G2" i="4" s="1"/>
  <c r="A7" i="5"/>
  <c r="M6" i="5"/>
  <c r="L6" i="5"/>
  <c r="L14" i="5" s="1"/>
  <c r="K6" i="5"/>
  <c r="K14" i="5" s="1"/>
  <c r="J6" i="5"/>
  <c r="J14" i="5" s="1"/>
  <c r="I6" i="5"/>
  <c r="I14" i="5" s="1"/>
  <c r="H6" i="5"/>
  <c r="H14" i="5" s="1"/>
  <c r="G6" i="5"/>
  <c r="F6" i="5"/>
  <c r="E6" i="5"/>
  <c r="D6" i="5"/>
  <c r="D14" i="5" s="1"/>
  <c r="C6" i="5"/>
  <c r="C14" i="5" s="1"/>
  <c r="B6" i="5"/>
  <c r="B14" i="5" s="1"/>
  <c r="A6" i="5"/>
  <c r="M5" i="5"/>
  <c r="L5" i="5"/>
  <c r="K5" i="5"/>
  <c r="C60" i="5" s="1"/>
  <c r="J5" i="5"/>
  <c r="C59" i="5" s="1"/>
  <c r="I5" i="5"/>
  <c r="I13" i="5" s="1"/>
  <c r="H5" i="5"/>
  <c r="H13" i="5" s="1"/>
  <c r="G5" i="5"/>
  <c r="G13" i="5" s="1"/>
  <c r="F5" i="5"/>
  <c r="C55" i="5" s="1"/>
  <c r="E5" i="5"/>
  <c r="D5" i="5"/>
  <c r="C5" i="5"/>
  <c r="C52" i="5" s="1"/>
  <c r="B5" i="5"/>
  <c r="C51" i="5" s="1"/>
  <c r="A5" i="5"/>
  <c r="M4" i="5"/>
  <c r="L4" i="5"/>
  <c r="B61" i="5" s="1"/>
  <c r="K4" i="5"/>
  <c r="B60" i="5" s="1"/>
  <c r="J4" i="5"/>
  <c r="I4" i="5"/>
  <c r="H4" i="5"/>
  <c r="B57" i="5" s="1"/>
  <c r="G4" i="5"/>
  <c r="F4" i="5"/>
  <c r="B55" i="5" s="1"/>
  <c r="E4" i="5"/>
  <c r="D4" i="5"/>
  <c r="B53" i="5" s="1"/>
  <c r="C4" i="5"/>
  <c r="B52" i="5" s="1"/>
  <c r="B4" i="5"/>
  <c r="D1" i="5"/>
  <c r="B1" i="5"/>
  <c r="A1" i="5"/>
  <c r="F21" i="4"/>
  <c r="D21" i="4"/>
  <c r="C21" i="4"/>
  <c r="B21" i="4"/>
  <c r="D20" i="4"/>
  <c r="C20" i="4"/>
  <c r="B20" i="4"/>
  <c r="G19" i="4"/>
  <c r="D19" i="4"/>
  <c r="C19" i="4"/>
  <c r="B19" i="4"/>
  <c r="D18" i="4"/>
  <c r="C18" i="4"/>
  <c r="B18" i="4"/>
  <c r="D17" i="4"/>
  <c r="C17" i="4"/>
  <c r="B17" i="4"/>
  <c r="G16" i="4"/>
  <c r="D16" i="4"/>
  <c r="C16" i="4"/>
  <c r="B16" i="4"/>
  <c r="D15" i="4"/>
  <c r="C15" i="4"/>
  <c r="B15" i="4"/>
  <c r="D14" i="4"/>
  <c r="C14" i="4"/>
  <c r="B14" i="4"/>
  <c r="H13" i="4"/>
  <c r="D13" i="4"/>
  <c r="C13" i="4"/>
  <c r="B13" i="4"/>
  <c r="D12" i="4"/>
  <c r="C12" i="4"/>
  <c r="B12" i="4"/>
  <c r="F11" i="4"/>
  <c r="D11" i="4"/>
  <c r="C11" i="4"/>
  <c r="B11" i="4"/>
  <c r="D10" i="4"/>
  <c r="C10" i="4"/>
  <c r="B10" i="4"/>
  <c r="F9" i="4"/>
  <c r="D9" i="4"/>
  <c r="C9" i="4"/>
  <c r="B9" i="4"/>
  <c r="D8" i="4"/>
  <c r="C8" i="4"/>
  <c r="B8" i="4"/>
  <c r="H7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  <c r="D2" i="4"/>
  <c r="C2" i="4"/>
  <c r="B2" i="4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B5" i="25" a="1"/>
  <c r="B6" i="25" a="1"/>
  <c r="B6" i="25" l="1"/>
  <c r="B14" i="25" s="1"/>
  <c r="B5" i="25"/>
  <c r="B13" i="25" s="1"/>
  <c r="C62" i="9"/>
  <c r="C15" i="10"/>
  <c r="C57" i="10"/>
  <c r="B15" i="11"/>
  <c r="N7" i="11"/>
  <c r="G8" i="4" s="1"/>
  <c r="C54" i="13"/>
  <c r="H13" i="19"/>
  <c r="C57" i="19"/>
  <c r="C60" i="10"/>
  <c r="K15" i="10"/>
  <c r="N6" i="5"/>
  <c r="F2" i="4" s="1"/>
  <c r="C56" i="5"/>
  <c r="F13" i="7"/>
  <c r="C54" i="7"/>
  <c r="C59" i="7"/>
  <c r="C57" i="8"/>
  <c r="H13" i="8"/>
  <c r="N7" i="8"/>
  <c r="G5" i="4" s="1"/>
  <c r="C61" i="9"/>
  <c r="N6" i="9"/>
  <c r="F6" i="4" s="1"/>
  <c r="C51" i="9"/>
  <c r="C57" i="9"/>
  <c r="F14" i="10"/>
  <c r="B16" i="10"/>
  <c r="C51" i="10"/>
  <c r="N5" i="11"/>
  <c r="E8" i="4" s="1"/>
  <c r="N6" i="17"/>
  <c r="C52" i="17"/>
  <c r="C58" i="22"/>
  <c r="I13" i="22"/>
  <c r="N8" i="5"/>
  <c r="H2" i="4" s="1"/>
  <c r="B15" i="5"/>
  <c r="E16" i="5"/>
  <c r="N7" i="6"/>
  <c r="G3" i="4" s="1"/>
  <c r="F13" i="6"/>
  <c r="C16" i="6"/>
  <c r="C54" i="6"/>
  <c r="N8" i="7"/>
  <c r="H4" i="4" s="1"/>
  <c r="D13" i="7"/>
  <c r="C58" i="7"/>
  <c r="C56" i="8"/>
  <c r="N6" i="8"/>
  <c r="F5" i="4" s="1"/>
  <c r="C52" i="6"/>
  <c r="C60" i="6"/>
  <c r="I13" i="6"/>
  <c r="C58" i="10"/>
  <c r="B15" i="12"/>
  <c r="C51" i="12"/>
  <c r="N7" i="12"/>
  <c r="G9" i="4" s="1"/>
  <c r="C56" i="13"/>
  <c r="C57" i="14"/>
  <c r="C53" i="15"/>
  <c r="N7" i="16"/>
  <c r="G13" i="4" s="1"/>
  <c r="B15" i="16"/>
  <c r="N5" i="5"/>
  <c r="E2" i="4" s="1"/>
  <c r="C57" i="5"/>
  <c r="B15" i="6"/>
  <c r="H13" i="7"/>
  <c r="B13" i="8"/>
  <c r="N5" i="8"/>
  <c r="E5" i="4" s="1"/>
  <c r="K13" i="8"/>
  <c r="C55" i="8"/>
  <c r="C55" i="9"/>
  <c r="N5" i="9"/>
  <c r="E6" i="4" s="1"/>
  <c r="N7" i="10"/>
  <c r="G7" i="4" s="1"/>
  <c r="J13" i="10"/>
  <c r="C51" i="11"/>
  <c r="C57" i="11"/>
  <c r="C55" i="12"/>
  <c r="F13" i="12"/>
  <c r="N5" i="12"/>
  <c r="E9" i="4" s="1"/>
  <c r="H14" i="12"/>
  <c r="C57" i="12"/>
  <c r="J13" i="14"/>
  <c r="B15" i="15"/>
  <c r="N7" i="15"/>
  <c r="G12" i="4" s="1"/>
  <c r="E13" i="16"/>
  <c r="N5" i="16"/>
  <c r="E13" i="4" s="1"/>
  <c r="C55" i="17"/>
  <c r="F13" i="17"/>
  <c r="N5" i="17"/>
  <c r="B15" i="17"/>
  <c r="N7" i="17"/>
  <c r="G14" i="4" s="1"/>
  <c r="C51" i="17"/>
  <c r="C54" i="20"/>
  <c r="E13" i="20"/>
  <c r="C62" i="20"/>
  <c r="M13" i="20"/>
  <c r="N8" i="20"/>
  <c r="H17" i="4" s="1"/>
  <c r="N6" i="7"/>
  <c r="F4" i="4" s="1"/>
  <c r="C55" i="15"/>
  <c r="F13" i="15"/>
  <c r="N5" i="15"/>
  <c r="E12" i="4" s="1"/>
  <c r="N8" i="15"/>
  <c r="H12" i="4" s="1"/>
  <c r="C13" i="8"/>
  <c r="M14" i="13"/>
  <c r="C62" i="13"/>
  <c r="B16" i="13"/>
  <c r="N8" i="13"/>
  <c r="H10" i="4" s="1"/>
  <c r="C14" i="14"/>
  <c r="C52" i="14"/>
  <c r="N7" i="14"/>
  <c r="G11" i="4" s="1"/>
  <c r="C57" i="17"/>
  <c r="C56" i="6"/>
  <c r="M13" i="6"/>
  <c r="N5" i="7"/>
  <c r="E4" i="4" s="1"/>
  <c r="C52" i="9"/>
  <c r="C60" i="9"/>
  <c r="C15" i="9"/>
  <c r="C54" i="10"/>
  <c r="C62" i="10"/>
  <c r="C13" i="13"/>
  <c r="N5" i="13"/>
  <c r="E10" i="4" s="1"/>
  <c r="N6" i="13"/>
  <c r="F10" i="4" s="1"/>
  <c r="I13" i="14"/>
  <c r="C58" i="14"/>
  <c r="C53" i="14"/>
  <c r="D14" i="14"/>
  <c r="G15" i="14"/>
  <c r="C56" i="14"/>
  <c r="C57" i="15"/>
  <c r="H13" i="15"/>
  <c r="N6" i="15"/>
  <c r="F12" i="4" s="1"/>
  <c r="C54" i="16"/>
  <c r="C58" i="5"/>
  <c r="N5" i="6"/>
  <c r="E3" i="4" s="1"/>
  <c r="L3" i="4" s="1"/>
  <c r="E2" i="6" s="1"/>
  <c r="C61" i="7"/>
  <c r="N8" i="9"/>
  <c r="H6" i="4" s="1"/>
  <c r="C54" i="9"/>
  <c r="C59" i="9"/>
  <c r="L13" i="10"/>
  <c r="C61" i="10"/>
  <c r="F13" i="5"/>
  <c r="N6" i="6"/>
  <c r="F3" i="4" s="1"/>
  <c r="C62" i="7"/>
  <c r="N8" i="8"/>
  <c r="H5" i="4" s="1"/>
  <c r="B14" i="8"/>
  <c r="C56" i="9"/>
  <c r="C55" i="10"/>
  <c r="N5" i="10"/>
  <c r="E7" i="4" s="1"/>
  <c r="C56" i="10"/>
  <c r="L13" i="13"/>
  <c r="C61" i="13"/>
  <c r="C51" i="14"/>
  <c r="N5" i="14"/>
  <c r="E11" i="4" s="1"/>
  <c r="B13" i="14"/>
  <c r="C52" i="18"/>
  <c r="C13" i="18"/>
  <c r="N5" i="18"/>
  <c r="E15" i="4" s="1"/>
  <c r="C60" i="18"/>
  <c r="K13" i="18"/>
  <c r="D16" i="18"/>
  <c r="C53" i="18"/>
  <c r="L16" i="18"/>
  <c r="C61" i="18"/>
  <c r="C61" i="8"/>
  <c r="C53" i="11"/>
  <c r="C59" i="11"/>
  <c r="C61" i="12"/>
  <c r="N8" i="14"/>
  <c r="H11" i="4" s="1"/>
  <c r="C51" i="15"/>
  <c r="J13" i="15"/>
  <c r="C59" i="15"/>
  <c r="C57" i="16"/>
  <c r="F14" i="12"/>
  <c r="E15" i="12"/>
  <c r="G13" i="13"/>
  <c r="C62" i="14"/>
  <c r="N6" i="16"/>
  <c r="F13" i="4" s="1"/>
  <c r="B16" i="16"/>
  <c r="C13" i="19"/>
  <c r="C52" i="19"/>
  <c r="K13" i="19"/>
  <c r="C60" i="19"/>
  <c r="C57" i="20"/>
  <c r="H13" i="20"/>
  <c r="G14" i="22"/>
  <c r="C56" i="22"/>
  <c r="N6" i="11"/>
  <c r="F8" i="4" s="1"/>
  <c r="N8" i="11"/>
  <c r="H8" i="4" s="1"/>
  <c r="B16" i="11"/>
  <c r="K13" i="11"/>
  <c r="C62" i="12"/>
  <c r="C57" i="13"/>
  <c r="H13" i="13"/>
  <c r="C54" i="14"/>
  <c r="C61" i="15"/>
  <c r="I13" i="16"/>
  <c r="H13" i="17"/>
  <c r="C56" i="18"/>
  <c r="N6" i="18"/>
  <c r="F15" i="4" s="1"/>
  <c r="B14" i="18"/>
  <c r="C58" i="18"/>
  <c r="C54" i="11"/>
  <c r="E13" i="11"/>
  <c r="G14" i="11"/>
  <c r="C56" i="11"/>
  <c r="M13" i="11"/>
  <c r="C53" i="12"/>
  <c r="C51" i="16"/>
  <c r="C59" i="16"/>
  <c r="C53" i="16"/>
  <c r="K13" i="17"/>
  <c r="C60" i="17"/>
  <c r="H13" i="18"/>
  <c r="C57" i="18"/>
  <c r="N8" i="19"/>
  <c r="H16" i="4" s="1"/>
  <c r="C53" i="19"/>
  <c r="F13" i="23"/>
  <c r="C55" i="23"/>
  <c r="N5" i="23"/>
  <c r="E20" i="4" s="1"/>
  <c r="H14" i="23"/>
  <c r="C57" i="23"/>
  <c r="C61" i="16"/>
  <c r="N6" i="19"/>
  <c r="F16" i="4" s="1"/>
  <c r="B14" i="19"/>
  <c r="C55" i="19"/>
  <c r="N7" i="20"/>
  <c r="G17" i="4" s="1"/>
  <c r="C56" i="24"/>
  <c r="G13" i="24"/>
  <c r="C58" i="11"/>
  <c r="N8" i="12"/>
  <c r="H9" i="4" s="1"/>
  <c r="K13" i="14"/>
  <c r="C60" i="14"/>
  <c r="M13" i="14"/>
  <c r="M15" i="15"/>
  <c r="C62" i="15"/>
  <c r="C55" i="16"/>
  <c r="F13" i="16"/>
  <c r="N8" i="17"/>
  <c r="H14" i="4" s="1"/>
  <c r="E14" i="19"/>
  <c r="N7" i="23"/>
  <c r="G20" i="4" s="1"/>
  <c r="N8" i="21"/>
  <c r="H18" i="4" s="1"/>
  <c r="E13" i="22"/>
  <c r="N6" i="23"/>
  <c r="F20" i="4" s="1"/>
  <c r="C52" i="24"/>
  <c r="N5" i="24"/>
  <c r="E21" i="4" s="1"/>
  <c r="C13" i="24"/>
  <c r="C55" i="20"/>
  <c r="C58" i="20"/>
  <c r="I14" i="20"/>
  <c r="C53" i="20"/>
  <c r="D15" i="20"/>
  <c r="C61" i="20"/>
  <c r="L15" i="20"/>
  <c r="B14" i="21"/>
  <c r="N6" i="21"/>
  <c r="F18" i="4" s="1"/>
  <c r="C62" i="22"/>
  <c r="M13" i="22"/>
  <c r="M14" i="12"/>
  <c r="C51" i="13"/>
  <c r="C59" i="13"/>
  <c r="C56" i="15"/>
  <c r="C56" i="16"/>
  <c r="C54" i="17"/>
  <c r="C56" i="17"/>
  <c r="C51" i="18"/>
  <c r="C59" i="18"/>
  <c r="N8" i="18"/>
  <c r="H15" i="4" s="1"/>
  <c r="C51" i="19"/>
  <c r="B13" i="19"/>
  <c r="I16" i="19"/>
  <c r="C58" i="19"/>
  <c r="C61" i="19"/>
  <c r="C56" i="20"/>
  <c r="N6" i="20"/>
  <c r="F17" i="4" s="1"/>
  <c r="B14" i="20"/>
  <c r="I14" i="24"/>
  <c r="C58" i="24"/>
  <c r="D16" i="23"/>
  <c r="N8" i="23"/>
  <c r="H20" i="4" s="1"/>
  <c r="C51" i="23"/>
  <c r="C61" i="23"/>
  <c r="C55" i="13"/>
  <c r="F13" i="13"/>
  <c r="N7" i="13"/>
  <c r="G10" i="4" s="1"/>
  <c r="G13" i="15"/>
  <c r="E14" i="15"/>
  <c r="N5" i="19"/>
  <c r="E16" i="4" s="1"/>
  <c r="C53" i="21"/>
  <c r="N5" i="21"/>
  <c r="E18" i="4" s="1"/>
  <c r="C61" i="21"/>
  <c r="N7" i="21"/>
  <c r="G18" i="4" s="1"/>
  <c r="D13" i="21"/>
  <c r="N8" i="22"/>
  <c r="H19" i="4" s="1"/>
  <c r="C16" i="22"/>
  <c r="N8" i="24"/>
  <c r="H21" i="4" s="1"/>
  <c r="C59" i="17"/>
  <c r="N7" i="18"/>
  <c r="G15" i="4" s="1"/>
  <c r="C51" i="20"/>
  <c r="C59" i="20"/>
  <c r="C51" i="21"/>
  <c r="C59" i="21"/>
  <c r="N6" i="22"/>
  <c r="F19" i="4" s="1"/>
  <c r="N7" i="24"/>
  <c r="G21" i="4" s="1"/>
  <c r="C55" i="18"/>
  <c r="F13" i="18"/>
  <c r="C56" i="19"/>
  <c r="N5" i="20"/>
  <c r="E17" i="4" s="1"/>
  <c r="C52" i="20"/>
  <c r="C60" i="20"/>
  <c r="F13" i="20"/>
  <c r="H13" i="22"/>
  <c r="C52" i="22"/>
  <c r="C60" i="22"/>
  <c r="C16" i="24"/>
  <c r="C57" i="24"/>
  <c r="C61" i="24"/>
  <c r="N5" i="22"/>
  <c r="E19" i="4" s="1"/>
  <c r="B13" i="22"/>
  <c r="J13" i="22"/>
  <c r="G13" i="23"/>
  <c r="B14" i="23"/>
  <c r="B15" i="24"/>
  <c r="C54" i="24"/>
  <c r="C62" i="24"/>
  <c r="F13" i="21"/>
  <c r="C52" i="23"/>
  <c r="C60" i="23"/>
  <c r="F13" i="24"/>
  <c r="F13" i="22"/>
  <c r="L16" i="4" l="1"/>
  <c r="E2" i="19" s="1"/>
  <c r="K16" i="4"/>
  <c r="D2" i="19" s="1"/>
  <c r="I16" i="4"/>
  <c r="B2" i="19" s="1"/>
  <c r="J16" i="4"/>
  <c r="C2" i="19" s="1"/>
  <c r="K19" i="4"/>
  <c r="D2" i="22" s="1"/>
  <c r="J19" i="4"/>
  <c r="C2" i="22" s="1"/>
  <c r="I19" i="4"/>
  <c r="B2" i="22" s="1"/>
  <c r="L19" i="4"/>
  <c r="E2" i="22" s="1"/>
  <c r="I21" i="4"/>
  <c r="L21" i="4"/>
  <c r="E2" i="24" s="1"/>
  <c r="J21" i="4"/>
  <c r="K21" i="4"/>
  <c r="K15" i="4"/>
  <c r="D2" i="18" s="1"/>
  <c r="J15" i="4"/>
  <c r="C2" i="18" s="1"/>
  <c r="L15" i="4"/>
  <c r="E2" i="18" s="1"/>
  <c r="I15" i="4"/>
  <c r="B2" i="18" s="1"/>
  <c r="L12" i="4"/>
  <c r="E2" i="15" s="1"/>
  <c r="K12" i="4"/>
  <c r="D2" i="15" s="1"/>
  <c r="I12" i="4"/>
  <c r="B2" i="15" s="1"/>
  <c r="J12" i="4"/>
  <c r="C2" i="15" s="1"/>
  <c r="K7" i="4"/>
  <c r="D2" i="10" s="1"/>
  <c r="J7" i="4"/>
  <c r="C2" i="10" s="1"/>
  <c r="I7" i="4"/>
  <c r="B2" i="10" s="1"/>
  <c r="L7" i="4"/>
  <c r="E2" i="10" s="1"/>
  <c r="I5" i="4"/>
  <c r="B2" i="8" s="1"/>
  <c r="L5" i="4"/>
  <c r="E2" i="8" s="1"/>
  <c r="J5" i="4"/>
  <c r="C2" i="8" s="1"/>
  <c r="K5" i="4"/>
  <c r="D2" i="8" s="1"/>
  <c r="F14" i="4"/>
  <c r="E14" i="4"/>
  <c r="L17" i="4"/>
  <c r="E2" i="20" s="1"/>
  <c r="I17" i="4"/>
  <c r="B2" i="20" s="1"/>
  <c r="K17" i="4"/>
  <c r="D2" i="20" s="1"/>
  <c r="J17" i="4"/>
  <c r="C2" i="20" s="1"/>
  <c r="L4" i="4"/>
  <c r="E2" i="7" s="1"/>
  <c r="K4" i="4"/>
  <c r="D2" i="7" s="1"/>
  <c r="I4" i="4"/>
  <c r="B2" i="7" s="1"/>
  <c r="J4" i="4"/>
  <c r="C2" i="7" s="1"/>
  <c r="K3" i="4"/>
  <c r="D2" i="6" s="1"/>
  <c r="L8" i="4"/>
  <c r="E2" i="11" s="1"/>
  <c r="K8" i="4"/>
  <c r="D2" i="11" s="1"/>
  <c r="I8" i="4"/>
  <c r="B2" i="11" s="1"/>
  <c r="J8" i="4"/>
  <c r="C2" i="11" s="1"/>
  <c r="L20" i="4"/>
  <c r="E2" i="23" s="1"/>
  <c r="K20" i="4"/>
  <c r="D2" i="23" s="1"/>
  <c r="I20" i="4"/>
  <c r="B2" i="23" s="1"/>
  <c r="J20" i="4"/>
  <c r="C2" i="23" s="1"/>
  <c r="J18" i="4"/>
  <c r="C2" i="21" s="1"/>
  <c r="I18" i="4"/>
  <c r="B2" i="21" s="1"/>
  <c r="K18" i="4"/>
  <c r="D2" i="21" s="1"/>
  <c r="L18" i="4"/>
  <c r="E2" i="21" s="1"/>
  <c r="L11" i="4"/>
  <c r="E2" i="14" s="1"/>
  <c r="K11" i="4"/>
  <c r="D2" i="14" s="1"/>
  <c r="J11" i="4"/>
  <c r="C2" i="14" s="1"/>
  <c r="I11" i="4"/>
  <c r="B2" i="14" s="1"/>
  <c r="J10" i="4"/>
  <c r="C2" i="13" s="1"/>
  <c r="I10" i="4"/>
  <c r="B2" i="13" s="1"/>
  <c r="K10" i="4"/>
  <c r="D2" i="13" s="1"/>
  <c r="L10" i="4"/>
  <c r="E2" i="13" s="1"/>
  <c r="K6" i="4"/>
  <c r="D2" i="9" s="1"/>
  <c r="J6" i="4"/>
  <c r="C2" i="9" s="1"/>
  <c r="I6" i="4"/>
  <c r="B2" i="9" s="1"/>
  <c r="L6" i="4"/>
  <c r="E2" i="9" s="1"/>
  <c r="L9" i="4"/>
  <c r="E2" i="12" s="1"/>
  <c r="K9" i="4"/>
  <c r="D2" i="12" s="1"/>
  <c r="J9" i="4"/>
  <c r="C2" i="12" s="1"/>
  <c r="I9" i="4"/>
  <c r="B2" i="12" s="1"/>
  <c r="J2" i="4"/>
  <c r="C2" i="5" s="1"/>
  <c r="I2" i="4"/>
  <c r="B2" i="5" s="1"/>
  <c r="K2" i="4"/>
  <c r="D2" i="5" s="1"/>
  <c r="L2" i="4"/>
  <c r="E2" i="5" s="1"/>
  <c r="J3" i="4"/>
  <c r="C2" i="6" s="1"/>
  <c r="I3" i="4"/>
  <c r="B2" i="6" s="1"/>
  <c r="I13" i="4"/>
  <c r="L13" i="4"/>
  <c r="E2" i="16" s="1"/>
  <c r="J13" i="4"/>
  <c r="K13" i="4"/>
  <c r="L14" i="4" l="1"/>
  <c r="E2" i="17" s="1"/>
  <c r="K14" i="4"/>
  <c r="D2" i="17" s="1"/>
  <c r="J14" i="4"/>
  <c r="C2" i="17" s="1"/>
  <c r="I14" i="4"/>
  <c r="B2" i="17" s="1"/>
  <c r="D2" i="24"/>
  <c r="D2" i="16"/>
  <c r="C2" i="24"/>
  <c r="C2" i="16"/>
  <c r="B2" i="24"/>
  <c r="B2" i="16"/>
</calcChain>
</file>

<file path=xl/sharedStrings.xml><?xml version="1.0" encoding="utf-8"?>
<sst xmlns="http://schemas.openxmlformats.org/spreadsheetml/2006/main" count="828" uniqueCount="350">
  <si>
    <t>Response ID</t>
  </si>
  <si>
    <t>Date Created</t>
  </si>
  <si>
    <t>Date Modified</t>
  </si>
  <si>
    <t>IP Address</t>
  </si>
  <si>
    <t>Duration (sec)</t>
  </si>
  <si>
    <t>Response Status</t>
  </si>
  <si>
    <t>Email</t>
  </si>
  <si>
    <t>First Name</t>
  </si>
  <si>
    <t>Last Name</t>
  </si>
  <si>
    <t>Collector ID</t>
  </si>
  <si>
    <t>Collector Type</t>
  </si>
  <si>
    <t>Custom Value</t>
  </si>
  <si>
    <t>Name | First name</t>
  </si>
  <si>
    <t>Name | Last name</t>
  </si>
  <si>
    <t>Email address | Email address</t>
  </si>
  <si>
    <t>Organization</t>
  </si>
  <si>
    <t>What do you draw on to lead your team to deliver the optimum results? | Determination, charisma, and an innate understanding of the organization’s power structures</t>
  </si>
  <si>
    <t>What do you draw on to lead your team to deliver the optimum results? | An inspiring passion and intuitive understanding of individual and team dynamics</t>
  </si>
  <si>
    <t>What do you draw on to lead your team to deliver the optimum results? | The wisdom of my experience and an understanding of team dynamic</t>
  </si>
  <si>
    <t>What do you draw on to lead your team to deliver the optimum results? | The ability to amplify the reach of my boss and provide the behind the scenes insights</t>
  </si>
  <si>
    <t>What do you most trust when making decisions? | Information, evidence, and the informed insights from others that I trust</t>
  </si>
  <si>
    <t>What do you most trust when making decisions? | My instinct and gut in making sense of data and evidence and collaborating with others to assist me</t>
  </si>
  <si>
    <t>What do you most trust when making decisions? | My ability to understand the implications of information and which stakeholders need to be included in the decision-making process</t>
  </si>
  <si>
    <t>What do you most trust when making decisions? | My network’s strategic knowledge and my innate understanding of what they need to get the job done</t>
  </si>
  <si>
    <t>What constrains me in work situations? | Chaos where the ultimate decision makers are not willing to make clear, tough decisions</t>
  </si>
  <si>
    <t>What constrains me in work situations? | Lack of access to corporate knowledge and being sidelined from the decision-making process</t>
  </si>
  <si>
    <t>What constrains me in work situations? | Over-reliance on cold, hard facts with little nuanced understanding of the people impact</t>
  </si>
  <si>
    <t>What constrains me in work situations? | Lack of opportunity and an inability to have a visible and powerful impact</t>
  </si>
  <si>
    <t>What inspires me in a senior leader? | An inspirational and passionate big picture thinker who understands the power of the team to realise significant objectives</t>
  </si>
  <si>
    <t>What inspires me in a senior leader? | A compelling and strategic thinker who galvanises the team to execute with precision</t>
  </si>
  <si>
    <t>What inspires me in a senior leader? | One that has a clear and captivating vision and recognizes and relies on my talents to execute on their strategy</t>
  </si>
  <si>
    <t>What inspires me in a senior leader? | One that is powerful and has a magnetic vision and recognizes and celebrates my talent and ambition in driving results</t>
  </si>
  <si>
    <t>As a leader, how do you manage challenges and setbacks? | I rally the team to tackle the challenge and work together to ensure our success through innovative execution</t>
  </si>
  <si>
    <t>As a leader, how do you manage challenges and setbacks? | I figure out the key concerns that the leader has and work to address these to ensure a successful outcome</t>
  </si>
  <si>
    <t>As a leader, how do you manage challenges and setbacks? | I clarify the reasons for the challenge, bolster the team where necessary, and double down on execution to ensure my success</t>
  </si>
  <si>
    <t>As a leader, how do you manage challenges and setbacks? | I focus on understanding the cause and systematically mitigate the challenge to set us up for success</t>
  </si>
  <si>
    <t>How do work colleagues describe you? | As an influential, power behind the scenes and connected leader</t>
  </si>
  <si>
    <t>How do work colleagues describe you? | As a passionate, inspiring and intuitive leader</t>
  </si>
  <si>
    <t>How do work colleagues describe you? | As a wise, calm, and natural leader</t>
  </si>
  <si>
    <t>How do work colleagues describe you? | As a charismatic, driven, and determined leader</t>
  </si>
  <si>
    <t>What do you strive for in your role? | To build high performing teams that drive systemic, evidence-based, impactful outcomes</t>
  </si>
  <si>
    <t>What do you strive for in your role? | To achieve the best outcome for my boss which bolster the organization’s strategy and benefits its people</t>
  </si>
  <si>
    <t>What do you strive for in your role? | To be the best by using my ambition and talent to achieve strategic corporate goals</t>
  </si>
  <si>
    <t>What do you strive for in your role? | To bring together outstanding tight-knit teams with healthy cultures to deliver innovative, impactful results</t>
  </si>
  <si>
    <t>How do you behave when working with your peers? | I lead with passion, an inspiring narrative, and galvanize the team through a deep intuitive understanding of individual and team dynamics</t>
  </si>
  <si>
    <t>How do you behave when working with your peers? | I lead with analytic clarity, experiential wisdom, and a deep awareness of the team dynamic and how to harness this</t>
  </si>
  <si>
    <t>How do you behave when working with your peers? | I lead with charisma, the ability to influence and shape the team, and a single-minded determination to deliver</t>
  </si>
  <si>
    <t>How do you behave when working with your peers? | I lead by presenting the objectives of the organization and the goals of my boss and engage the team to ensure execution is the focus</t>
  </si>
  <si>
    <t>How would you describe yourself at your worst (under pressure / bored / unhappy)? | Manipulative, political, demanding, icy, envious, furious, and a “win or die” attitude</t>
  </si>
  <si>
    <t>How would you describe yourself at your worst (under pressure / bored / unhappy)? | Over-emotional, self-obsessed, easily enraged, scattered, cliquish, destructive, and hell-bent</t>
  </si>
  <si>
    <t>How would you describe yourself at your worst (under pressure / bored / unhappy)? | Anxious, blinded by the loyalty to my boss, officious, dismissive, and passive aggressive</t>
  </si>
  <si>
    <t>How would you describe yourself at your worst (under pressure / bored / unhappy)? | Cold, disdainful, intimidating, unforgiving, and overly reliant on hard facts</t>
  </si>
  <si>
    <t>What gives you confidence when acting in a leadership role? | The deep, intuitive understanding of what is at play, the creative and innovative capabilities I have, and my passion to make it happen</t>
  </si>
  <si>
    <t>What gives you confidence when acting in a leadership role? | My self-belief and appreciation of my talent and a determination to be the very best at whatever I put my mind to</t>
  </si>
  <si>
    <t>What gives you confidence when acting in a leadership role? | The belief in my capabilities, an understanding of the data, and a clear understanding of what needs to be achieved</t>
  </si>
  <si>
    <t>What gives you confidence when acting in a leadership role? | The trust and belief that my leader has in me and my innate abilities to translate their vision into an exceptional performance</t>
  </si>
  <si>
    <t>How do you relate to power in your leadership role? | My power lives in my people. I am genuinely most powerful in a collective, and I build teams that are greater than the sum of their parts</t>
  </si>
  <si>
    <t>How do you relate to power in your leadership role? | I hold power with quiet authority. I know I have it, I do not need to demonstrate it, and I use it to create clarity and direction for those around me</t>
  </si>
  <si>
    <t>How do you relate to power in your leadership role? | My power is relational, it flows from my deep understanding of my leader and organisation, and I am most effective when that relationship is strong and trusted</t>
  </si>
  <si>
    <t>How do you relate to power in your leadership role? | I understand power instinctively - where it sits, how it moves, and how to position myself within it to achieve what I am here to achieve</t>
  </si>
  <si>
    <t>How would you describe your relationship with ambition? | My ambition is channelled through my commitment to my leader and the organisation. I measure success by the quality and success of what we achieve together</t>
  </si>
  <si>
    <t>How would you describe your relationship with ambition? | I am unambiguously ambitious - for impact, for recognition, for being at the centre of what matters, and for making an impact. And I make no apology for that</t>
  </si>
  <si>
    <t>How would you describe your relationship with ambition? | My ambition is for the collective. I want to build teams and cultures where people genuinely thrive, and that matters to me as much as any metric</t>
  </si>
  <si>
    <t>How would you describe your relationship with ambition? | I am ambitious for outcomes and legacy. I believe in stewardship and want to build something that outlasts me. I hold a long view of what success looks like</t>
  </si>
  <si>
    <t>58.169.214.233</t>
  </si>
  <si>
    <t>completed</t>
  </si>
  <si>
    <t>Not Answered</t>
  </si>
  <si>
    <t>weblink</t>
  </si>
  <si>
    <t>Laura</t>
  </si>
  <si>
    <t>Taitz</t>
  </si>
  <si>
    <t>laura.taitz@gmail.com</t>
  </si>
  <si>
    <t>Fraction PM</t>
  </si>
  <si>
    <t>120.155.17.225</t>
  </si>
  <si>
    <t>Merle</t>
  </si>
  <si>
    <t>Singer</t>
  </si>
  <si>
    <t>merle@epitome-leadership.com</t>
  </si>
  <si>
    <t>Epitome Leadership</t>
  </si>
  <si>
    <t>119.18.20.123</t>
  </si>
  <si>
    <t>Jenny</t>
  </si>
  <si>
    <t>Nola</t>
  </si>
  <si>
    <t>jennynola@hotmail.com</t>
  </si>
  <si>
    <t>CWA of Victoria Inc</t>
  </si>
  <si>
    <t>115.70.50.162</t>
  </si>
  <si>
    <t>Jacqui</t>
  </si>
  <si>
    <t>Kernot</t>
  </si>
  <si>
    <t>JACQUI.KERNOT@GMAIL.COM</t>
  </si>
  <si>
    <t xml:space="preserve">Model security </t>
  </si>
  <si>
    <t>108.147.10.57</t>
  </si>
  <si>
    <t>Erikka</t>
  </si>
  <si>
    <t xml:space="preserve">Buracchio </t>
  </si>
  <si>
    <t>eaburacchio@gmail.com</t>
  </si>
  <si>
    <t>Retired</t>
  </si>
  <si>
    <t>1.140.109.68</t>
  </si>
  <si>
    <t>Jill</t>
  </si>
  <si>
    <t>Shapiro</t>
  </si>
  <si>
    <t>jillshapiro23@gmail.com</t>
  </si>
  <si>
    <t>AltX Financial Group</t>
  </si>
  <si>
    <t>As a leader, how do you deal with challenges and setbacks? | I rally the team to tackle the challenge and work together to ensure our success through innovative execution</t>
  </si>
  <si>
    <t>As a leader, how do you deal with challenges and setbacks? | I figure out the key concerns that the leader has and work to address these to ensure a successful outcome</t>
  </si>
  <si>
    <t>As a leader, how do you deal with challenges and setbacks? | I clarify the reasons for the challenge, bolster the team where necessary, and double down on execution to ensure my success</t>
  </si>
  <si>
    <t>As a leader, how do you deal with challenges and setbacks? | I focus on understanding the cause and systematically mitigate the challenge to set us up for success</t>
  </si>
  <si>
    <t>60.227.233.141</t>
  </si>
  <si>
    <t>Jessica</t>
  </si>
  <si>
    <t>Salvato</t>
  </si>
  <si>
    <t>jess@rela.com.au</t>
  </si>
  <si>
    <t>RELA</t>
  </si>
  <si>
    <t>98.171.54.241</t>
  </si>
  <si>
    <t>Allison</t>
  </si>
  <si>
    <t>Paul</t>
  </si>
  <si>
    <t>allisonpaul1313@gmail.com</t>
  </si>
  <si>
    <t>N/A</t>
  </si>
  <si>
    <t>119.18.0.183</t>
  </si>
  <si>
    <t>Jo-Anne</t>
  </si>
  <si>
    <t>Baker</t>
  </si>
  <si>
    <t>joabaker@icloud.com</t>
  </si>
  <si>
    <t>Healthiness</t>
  </si>
  <si>
    <t>111.220.62.16</t>
  </si>
  <si>
    <t>Kelly</t>
  </si>
  <si>
    <t>Slater</t>
  </si>
  <si>
    <t>kelly@theslaters.com.au</t>
  </si>
  <si>
    <t>Kelly Slater Business Consulting</t>
  </si>
  <si>
    <t>180.150.112.172</t>
  </si>
  <si>
    <t>partial</t>
  </si>
  <si>
    <t>Rebecca</t>
  </si>
  <si>
    <t>Blumberg</t>
  </si>
  <si>
    <t>rebeccaverablumberg@gmail.com</t>
  </si>
  <si>
    <t xml:space="preserve">Office of the Director of Public Prosecutions </t>
  </si>
  <si>
    <t xml:space="preserve">South Australian Director of Public Prosecutions </t>
  </si>
  <si>
    <t>60.226.135.180</t>
  </si>
  <si>
    <t>Lana</t>
  </si>
  <si>
    <t>Johnston</t>
  </si>
  <si>
    <t>lanajj24@outlook.com</t>
  </si>
  <si>
    <t>Taking It Forward</t>
  </si>
  <si>
    <t>Sovereign</t>
  </si>
  <si>
    <t>Empress</t>
  </si>
  <si>
    <t>Consort</t>
  </si>
  <si>
    <t>Seductress</t>
  </si>
  <si>
    <t>How do colleagues describe you? | As a wise, calm, and natural leader</t>
  </si>
  <si>
    <t>How do colleagues describe you? | As a passionate, inspiring and intuitive leader</t>
  </si>
  <si>
    <t>How do colleagues describe you? | As an influential, power behind the scenes and connected leader</t>
  </si>
  <si>
    <t>How do colleagues describe you? | As a charismatic, driven, and determined leader</t>
  </si>
  <si>
    <t>What do you strive for in your role? | To achieve the best outcome for my leader which bolster the organization’s strategy and benefit its people</t>
  </si>
  <si>
    <t>How do you behave when working with your peers? | I lead with analytic clarity, experiential wisdom, and a deep awareness of the team dynamic</t>
  </si>
  <si>
    <t>How do you behave when working with your peers? | I lead with passion, an inspiring narrative, and a deep intuitive understanding of the individual and team dynamics</t>
  </si>
  <si>
    <t>How do you behave when working with your peers? | I lead by presenting the objectives and goals of the leader, and a focus on the outstanding execution of these</t>
  </si>
  <si>
    <t>How do you behave when working with your peers? | I lead with charisma, the ability to shape the team, and a single-minded determination to deliver</t>
  </si>
  <si>
    <t>How would you describe yourself at your worst (under pressure / bored /unhappy)? | Cold, disdainful, intimidating, unforgiving, and overly reliant on hard facts</t>
  </si>
  <si>
    <t>How would you describe yourself at your worst (under pressure / bored /unhappy)? | Over-emotional, self-obsessed, easily enraged, scattered, cliquish, destructive, and hell-bent</t>
  </si>
  <si>
    <t>How would you describe yourself at your worst (under pressure / bored /unhappy)? | Anxious, blinded by the loyalty to the leader, officious, dismissive, and passive aggressive</t>
  </si>
  <si>
    <t>How would you describe yourself at your worst (under pressure / bored /unhappy)? | Manipulative, political, demanding, icy, envious, furious, and a “win or die” attitude</t>
  </si>
  <si>
    <t>What gives you confidence when acting in a leadership role? | My self-belief and appreciation of my talent and a determination to be the very best at whatever I put my mind to.</t>
  </si>
  <si>
    <t>S</t>
  </si>
  <si>
    <t>R</t>
  </si>
  <si>
    <t>T</t>
  </si>
  <si>
    <t>Q</t>
  </si>
  <si>
    <t>U</t>
  </si>
  <si>
    <t>V</t>
  </si>
  <si>
    <t>X</t>
  </si>
  <si>
    <t>W</t>
  </si>
  <si>
    <t>Y</t>
  </si>
  <si>
    <t>AA</t>
  </si>
  <si>
    <t>Z</t>
  </si>
  <si>
    <t>AB</t>
  </si>
  <si>
    <t>AD</t>
  </si>
  <si>
    <t>AC</t>
  </si>
  <si>
    <t>AE</t>
  </si>
  <si>
    <t>AF</t>
  </si>
  <si>
    <t>AJ</t>
  </si>
  <si>
    <t>AG</t>
  </si>
  <si>
    <t>AH</t>
  </si>
  <si>
    <t>AI</t>
  </si>
  <si>
    <t>AM</t>
  </si>
  <si>
    <t>AL</t>
  </si>
  <si>
    <t>AK</t>
  </si>
  <si>
    <t>AN</t>
  </si>
  <si>
    <t>AO</t>
  </si>
  <si>
    <t>AR</t>
  </si>
  <si>
    <t>AP</t>
  </si>
  <si>
    <t>AQ</t>
  </si>
  <si>
    <t>AT</t>
  </si>
  <si>
    <t>AS</t>
  </si>
  <si>
    <t>AV</t>
  </si>
  <si>
    <t>AU</t>
  </si>
  <si>
    <t>AZ</t>
  </si>
  <si>
    <t>AX</t>
  </si>
  <si>
    <t>AY</t>
  </si>
  <si>
    <t>AW</t>
  </si>
  <si>
    <t>BC</t>
  </si>
  <si>
    <t>BA</t>
  </si>
  <si>
    <t>BD</t>
  </si>
  <si>
    <t>BB</t>
  </si>
  <si>
    <t>BF</t>
  </si>
  <si>
    <t>BE</t>
  </si>
  <si>
    <t>BG</t>
  </si>
  <si>
    <t>BH</t>
  </si>
  <si>
    <t>BL</t>
  </si>
  <si>
    <t>BK</t>
  </si>
  <si>
    <t>BI</t>
  </si>
  <si>
    <t>BJ</t>
  </si>
  <si>
    <t xml:space="preserve"> </t>
  </si>
  <si>
    <t>Topics</t>
  </si>
  <si>
    <t>Leading</t>
  </si>
  <si>
    <t>At best</t>
  </si>
  <si>
    <t>Trust</t>
  </si>
  <si>
    <t>Constraints</t>
  </si>
  <si>
    <t>At worst</t>
  </si>
  <si>
    <t>Inspiration</t>
  </si>
  <si>
    <t>Managing Challenges</t>
  </si>
  <si>
    <t>Others View Me</t>
  </si>
  <si>
    <t>Striving</t>
  </si>
  <si>
    <t>Working With Peers</t>
  </si>
  <si>
    <t>At Your Worst</t>
  </si>
  <si>
    <t>Confidence</t>
  </si>
  <si>
    <t>Power</t>
  </si>
  <si>
    <t>Ambition</t>
  </si>
  <si>
    <t>Archetypes</t>
  </si>
  <si>
    <t>Response</t>
  </si>
  <si>
    <t>Name</t>
  </si>
  <si>
    <t>Surname</t>
  </si>
  <si>
    <t>Dominant Archetype</t>
  </si>
  <si>
    <t>Notes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</si>
  <si>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</si>
  <si>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</si>
  <si>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</si>
  <si>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</si>
  <si>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</si>
  <si>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</si>
  <si>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</si>
  <si>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</si>
  <si>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</si>
  <si>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</si>
  <si>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</si>
  <si>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</si>
  <si>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</si>
  <si>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</si>
  <si>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Response 15</t>
  </si>
  <si>
    <t>Response 16</t>
  </si>
  <si>
    <t>Response 17</t>
  </si>
  <si>
    <t>Response 18</t>
  </si>
  <si>
    <t>Response 19</t>
  </si>
  <si>
    <t>Response 20</t>
  </si>
  <si>
    <t>Company:</t>
  </si>
  <si>
    <t>Dominant archetype</t>
  </si>
  <si>
    <t>Total</t>
  </si>
  <si>
    <t>Inverterd to:</t>
  </si>
  <si>
    <t xml:space="preserve">
Empress</t>
  </si>
  <si>
    <t>Respondent ID</t>
  </si>
  <si>
    <t>Collector Name</t>
  </si>
  <si>
    <t>Language</t>
  </si>
  <si>
    <t>Start Date</t>
  </si>
  <si>
    <t>End Date</t>
  </si>
  <si>
    <t>Time Spent</t>
  </si>
  <si>
    <t>Email Address</t>
  </si>
  <si>
    <t>Q1. Name</t>
  </si>
  <si>
    <t>Q2. Email address</t>
  </si>
  <si>
    <t>Q3. Organization</t>
  </si>
  <si>
    <t>Q4. What do you draw on to lead your team to deliver the optimum results?</t>
  </si>
  <si>
    <t>Q5. What do you most trust when making decisions?</t>
  </si>
  <si>
    <t>Q6. What constrains me in work situations?</t>
  </si>
  <si>
    <t>Q7. What inspires me in a senior leader?</t>
  </si>
  <si>
    <t>Q8. As a leader, how do you deal with challenges and setbacks?</t>
  </si>
  <si>
    <t>Q9. How do work colleagues describe you?</t>
  </si>
  <si>
    <t>Q10. What do you strive for in your role?</t>
  </si>
  <si>
    <t>Q11. How do you behave when working with your peers?</t>
  </si>
  <si>
    <t>Q12. How would you describe yourself at your worst (under pressure / bored / unhappy)?</t>
  </si>
  <si>
    <t>Q13. What gives you confidence when acting in a leadership role?</t>
  </si>
  <si>
    <t>Q14. How do you relate to power in your leadership role?</t>
  </si>
  <si>
    <t>Q15. How would you describe your relationship with ambition?</t>
  </si>
  <si>
    <t>119117347207</t>
  </si>
  <si>
    <t>464641143</t>
  </si>
  <si>
    <t>Epitome Archetype Guide</t>
  </si>
  <si>
    <t>en</t>
  </si>
  <si>
    <t>2026-05-12T04:52:54</t>
  </si>
  <si>
    <t>2026-05-12T04:56:00</t>
  </si>
  <si>
    <t>03:05</t>
  </si>
  <si>
    <t/>
  </si>
  <si>
    <t>Merle Singer</t>
  </si>
  <si>
    <t>Determination, charisma, and an innate understanding of the organization’s power structures - 4, An inspiring passion and intuitive understanding of individual and team dynamics - 1, The wisdom of my experience and an understanding of team dynamic - 2, The ability to amplify the reach of my boss and provide the behind the scenes insights - 3</t>
  </si>
  <si>
    <t>Information, evidence, and the informed insights from others that I trust - 3, My instinct and gut in making sense of data and evidence and collaborating with others to assist me - 1, My ability to understand the implications of information and which stakeholders need to be included in the decision-making process - 4, My network’s strategic knowledge and my innate understanding of what they need to get the job done - 2</t>
  </si>
  <si>
    <t>Chaos where the ultimate decision makers are not willing to make clear, tough decisions - 1, Lack of access to corporate knowledge and being sidelined from the decision-making process - 3, Over-reliance on cold, hard facts with little nuanced understanding of the people impact - 2, Lack of opportunity and an inability to have a visible and powerful impact - 4</t>
  </si>
  <si>
    <t>An inspirational and passionate big picture thinker who understands the power of the team to realise significant objectives - 3, A compelling and strategic thinker who galvanises the team to execute with precision - 1, One that has a clear and captivating vision and recognizes and relies on my talents to execute on their strategy - 4, One that is powerful and has a magnetic vision and recognizes and celebrates my talent and ambition in driving results - 2</t>
  </si>
  <si>
    <t>I rally the team to tackle the challenge and work together to ensure our success through innovative execution - 1, I figure out the key concerns that the leader has and work to address these to ensure a successful outcome - 3, I clarify the reasons for the challenge, bolster the team where necessary, and double down on execution to ensure my success - 2, I focus on understanding the cause and systematically mitigate the challenge to set us up for success - 4</t>
  </si>
  <si>
    <t>As an influential, power behind the scenes and connected leader - 3, As a passionate, inspiring and intuitive leader - 1, As a wise, calm, and natural leader - 2, As a charismatic, driven, and determined leader - 4</t>
  </si>
  <si>
    <t>To build high performing teams that drive systemic, evidence-based, impactful outcomes - 1, To achieve the best outcome for my boss which bolster the organization’s strategy and benefits its people - 3, To be the best by using my ambition and talent to achieve strategic corporate goals - 2, To bring together outstanding tight-knit teams with healthy cultures to deliver innovative, impactful results - 4</t>
  </si>
  <si>
    <t>I lead with passion, an inspiring narrative, and galvanize the team through a deep intuitive understanding of individual and team dynamics - 1, I lead with analytic clarity, experiential wisdom, and a deep awareness of the team dynamic and how to harness this - 3, I lead with charisma, the ability to influence and shape the team, and a single-minded determination to deliver - 2, I lead by presenting the objectives of the organization and the goals of my boss and engage the team to ensure execution is the focus - 4</t>
  </si>
  <si>
    <t>Manipulative, political, demanding, icy, envious, furious, and a “win or die” attitude - 2, Over-emotional, self-obsessed, easily enraged, scattered, cliquish, destructive, and hell-bent - 3, Anxious, blinded by the loyalty to my boss, officious, dismissive, and passive aggressive - 1, Cold, disdainful, intimidating, unforgiving, and overly reliant on hard facts - 4</t>
  </si>
  <si>
    <t>The deep, intuitive understanding of what is at play, the creative and innovative capabilities I have, and my passion to make it happen - 1, My self-belief and appreciation of my talent and a determination to be the very best at whatever I put my mind to - 4, The belief in my capabilities, an understanding of the data, and a clear understanding of what needs to be achieved - 2, The trust and belief that my leader has in me and my innate abilities to translate their vision into an exceptional performance - 3</t>
  </si>
  <si>
    <t>My power lives in my people. I am genuinely most powerful in a collective, and I build teams that are greater than the sum of their parts - 4, I hold power with quiet authority. I know I have it, I do not need to demonstrate it, and I use it to create clarity and direction for those around me - 3, My power is relational, it flows from my deep understanding of my leader and organisation, and I am most effective when that relationship is strong and trusted - 1, I understand power instinctively - where it sits, how it moves, and how to position myself within it to achieve what I am here to achieve - 2</t>
  </si>
  <si>
    <t>My ambition is channelled through my commitment to my leader and the organisation. I measure success by the quality and success of what we achieve together - 4, I am unambiguously ambitious - for impact, for recognition, for being at the centre of what matters, and for making an impact. And I make no apology for that - 3, My ambition is for the collective. I want to build teams and cultures where people genuinely thrive, and that matters to me as much as any metric - 2, I am ambitious for outcomes and legacy. I believe in stewardship and want to build something that outlasts me. I hold a long view of what success looks like - 1</t>
  </si>
  <si>
    <t>119138094925</t>
  </si>
  <si>
    <t>2026-06-10T08:48:10</t>
  </si>
  <si>
    <t>2026-06-10T09:11:17</t>
  </si>
  <si>
    <t>23:06</t>
  </si>
  <si>
    <t>Jenny Nola</t>
  </si>
  <si>
    <t>Determination, charisma, and an innate understanding of the organization’s power structures - 3, An inspiring passion and intuitive understanding of individual and team dynamics - 1, The wisdom of my experience and an understanding of team dynamic - 2, The ability to amplify the reach of my boss and provide the behind the scenes insights - 4</t>
  </si>
  <si>
    <t>Information, evidence, and the informed insights from others that I trust - 2, My instinct and gut in making sense of data and evidence and collaborating with others to assist me - 3, My ability to understand the implications of information and which stakeholders need to be included in the decision-making process - 1, My network’s strategic knowledge and my innate understanding of what they need to get the job done - 4</t>
  </si>
  <si>
    <t>Chaos where the ultimate decision makers are not willing to make clear, tough decisions - 1, Lack of access to corporate knowledge and being sidelined from the decision-making process - 4, Over-reliance on cold, hard facts with little nuanced understanding of the people impact - 2, Lack of opportunity and an inability to have a visible and powerful impact - 3</t>
  </si>
  <si>
    <t>An inspirational and passionate big picture thinker who understands the power of the team to realise significant objectives - 1, A compelling and strategic thinker who galvanises the team to execute with precision - 2, One that has a clear and captivating vision and recognizes and relies on my talents to execute on their strategy - 3, One that is powerful and has a magnetic vision and recognizes and celebrates my talent and ambition in driving results - 4</t>
  </si>
  <si>
    <t>I rally the team to tackle the challenge and work together to ensure our success through innovative execution - 3, I figure out the key concerns that the leader has and work to address these to ensure a successful outcome - 4, I clarify the reasons for the challenge, bolster the team where necessary, and double down on execution to ensure my success - 1, I focus on understanding the cause and systematically mitigate the challenge to set us up for success - 2</t>
  </si>
  <si>
    <t>As an influential, power behind the scenes and connected leader - 1, As a passionate, inspiring and intuitive leader - 3, As a wise, calm, and natural leader - 2, As a charismatic, driven, and determined leader - 4</t>
  </si>
  <si>
    <t>To build high performing teams that drive systemic, evidence-based, impactful outcomes - 2, To achieve the best outcome for my boss which bolster the organization’s strategy and benefits its people - 3, To be the best by using my ambition and talent to achieve strategic corporate goals - 4, To bring together outstanding tight-knit teams with healthy cultures to deliver innovative, impactful results - 1</t>
  </si>
  <si>
    <t>Manipulative, political, demanding, icy, envious, furious, and a “win or die” attitude - 1, Over-emotional, self-obsessed, easily enraged, scattered, cliquish, destructive, and hell-bent - 4, Anxious, blinded by the loyalty to my boss, officious, dismissive, and passive aggressive - 3, Cold, disdainful, intimidating, unforgiving, and overly reliant on hard facts - 2</t>
  </si>
  <si>
    <t>The deep, intuitive understanding of what is at play, the creative and innovative capabilities I have, and my passion to make it happen - 1, My self-belief and appreciation of my talent and a determination to be the very best at whatever I put my mind to - 3, The belief in my capabilities, an understanding of the data, and a clear understanding of what needs to be achieved - 2, The trust and belief that my leader has in me and my innate abilities to translate their vision into an exceptional performance - 4</t>
  </si>
  <si>
    <t>My power lives in my people. I am genuinely most powerful in a collective, and I build teams that are greater than the sum of their parts - 1, I hold power with quiet authority. I know I have it, I do not need to demonstrate it, and I use it to create clarity and direction for those around me - 2, My power is relational, it flows from my deep understanding of my leader and organisation, and I am most effective when that relationship is strong and trusted - 4, I understand power instinctively - where it sits, how it moves, and how to position myself within it to achieve what I am here to achieve - 3</t>
  </si>
  <si>
    <t>My ambition is channelled through my commitment to my leader and the organisation. I measure success by the quality and success of what we achieve together - 2, I am unambiguously ambitious - for impact, for recognition, for being at the centre of what matters, and for making an impact. And I make no apology for that - 4, My ambition is for the collective. I want to build teams and cultures where people genuinely thrive, and that matters to me as much as any metric - 1, I am ambitious for outcomes and legacy. I believe in stewardship and want to build something that outlasts me. I hold a long view of what success looks like - 3</t>
  </si>
  <si>
    <t>119146084654</t>
  </si>
  <si>
    <t>2026-06-19T22:51:03</t>
  </si>
  <si>
    <t>2026-06-19T22:59:27</t>
  </si>
  <si>
    <t>08:24</t>
  </si>
  <si>
    <t>Jacqui Kernot</t>
  </si>
  <si>
    <t>Model security</t>
  </si>
  <si>
    <t>Determination, charisma, and an innate understanding of the organization’s power structures - 2, An inspiring passion and intuitive understanding of individual and team dynamics - 1, The wisdom of my experience and an understanding of team dynamic - 3, The ability to amplify the reach of my boss and provide the behind the scenes insights - 4</t>
  </si>
  <si>
    <t>Information, evidence, and the informed insights from others that I trust - 2, My instinct and gut in making sense of data and evidence and collaborating with others to assist me - 4, My ability to understand the implications of information and which stakeholders need to be included in the decision-making process - 1, My network’s strategic knowledge and my innate understanding of what they need to get the job done - 3</t>
  </si>
  <si>
    <t>Chaos where the ultimate decision makers are not willing to make clear, tough decisions - 2, Lack of access to corporate knowledge and being sidelined from the decision-making process - 4, Over-reliance on cold, hard facts with little nuanced understanding of the people impact - 1, Lack of opportunity and an inability to have a visible and powerful impact - 3</t>
  </si>
  <si>
    <t>An inspirational and passionate big picture thinker who understands the power of the team to realise significant objectives - 2, A compelling and strategic thinker who galvanises the team to execute with precision - 1, One that has a clear and captivating vision and recognizes and relies on my talents to execute on their strategy - 4, One that is powerful and has a magnetic vision and recognizes and celebrates my talent and ambition in driving results - 3</t>
  </si>
  <si>
    <t>I rally the team to tackle the challenge and work together to ensure our success through innovative execution - 4, I figure out the key concerns that the leader has and work to address these to ensure a successful outcome - 3, I clarify the reasons for the challenge, bolster the team where necessary, and double down on execution to ensure my success - 1, I focus on understanding the cause and systematically mitigate the challenge to set us up for success - 2</t>
  </si>
  <si>
    <t>As an influential, power behind the scenes and connected leader - 3, As a passionate, inspiring and intuitive leader - 2, As a wise, calm, and natural leader - 1, As a charismatic, driven, and determined leader - 4</t>
  </si>
  <si>
    <t>To build high performing teams that drive systemic, evidence-based, impactful outcomes - 1, To achieve the best outcome for my boss which bolster the organization’s strategy and benefits its people - 3, To be the best by using my ambition and talent to achieve strategic corporate goals - 4, To bring together outstanding tight-knit teams with healthy cultures to deliver innovative, impactful results - 2</t>
  </si>
  <si>
    <t>I lead with passion, an inspiring narrative, and galvanize the team through a deep intuitive understanding of individual and team dynamics - 2, I lead with analytic clarity, experiential wisdom, and a deep awareness of the team dynamic and how to harness this - 1, I lead with charisma, the ability to influence and shape the team, and a single-minded determination to deliver - 3, I lead by presenting the objectives of the organization and the goals of my boss and engage the team to ensure execution is the focus - 4</t>
  </si>
  <si>
    <t>Manipulative, political, demanding, icy, envious, furious, and a “win or die” attitude - 2, Over-emotional, self-obsessed, easily enraged, scattered, cliquish, destructive, and hell-bent - 4, Anxious, blinded by the loyalty to my boss, officious, dismissive, and passive aggressive - 3, Cold, disdainful, intimidating, unforgiving, and overly reliant on hard facts - 1</t>
  </si>
  <si>
    <t>My ambition is channelled through my commitment to my leader and the organisation. I measure success by the quality and success of what we achieve together - 4, I am unambiguously ambitious - for impact, for recognition, for being at the centre of what matters, and for making an impact. And I make no apology for that - 3, My ambition is for the collective. I want to build teams and cultures where people genuinely thrive, and that matters to me as much as any metric - 1, I am ambitious for outcomes and legacy. I believe in stewardship and want to build something that outlasts me. I hold a long view of what success looks like - 2</t>
  </si>
  <si>
    <t>119155726248</t>
  </si>
  <si>
    <t>2026-07-05T14:57:02</t>
  </si>
  <si>
    <t>2026-07-05T15:11:05</t>
  </si>
  <si>
    <t>14:03</t>
  </si>
  <si>
    <t>Erikka Buracchio</t>
  </si>
  <si>
    <t>Determination, charisma, and an innate understanding of the organization’s power structures - 3, An inspiring passion and intuitive understanding of individual and team dynamics - 2, The wisdom of my experience and an understanding of team dynamic - 1, The ability to amplify the reach of my boss and provide the behind the scenes insights - 4</t>
  </si>
  <si>
    <t>Chaos where the ultimate decision makers are not willing to make clear, tough decisions - 1, Lack of access to corporate knowledge and being sidelined from the decision-making process - 2, Over-reliance on cold, hard facts with little nuanced understanding of the people impact - 3, Lack of opportunity and an inability to have a visible and powerful impact - 4</t>
  </si>
  <si>
    <t>An inspirational and passionate big picture thinker who understands the power of the team to realise significant objectives - 3, A compelling and strategic thinker who galvanises the team to execute with precision - 1, One that has a clear and captivating vision and recognizes and relies on my talents to execute on their strategy - 2, One that is powerful and has a magnetic vision and recognizes and celebrates my talent and ambition in driving results - 4</t>
  </si>
  <si>
    <t>I rally the team to tackle the challenge and work together to ensure our success through innovative execution - 1, I figure out the key concerns that the leader has and work to address these to ensure a successful outcome - 3, I clarify the reasons for the challenge, bolster the team where necessary, and double down on execution to ensure my success - 4, I focus on understanding the cause and systematically mitigate the challenge to set us up for success - 2</t>
  </si>
  <si>
    <t>As an influential, power behind the scenes and connected leader - 4, As a passionate, inspiring and intuitive leader - 1, As a wise, calm, and natural leader - 2, As a charismatic, driven, and determined leader - 3</t>
  </si>
  <si>
    <t>I lead with passion, an inspiring narrative, and galvanize the team through a deep intuitive understanding of individual and team dynamics - 1, I lead with analytic clarity, experiential wisdom, and a deep awareness of the team dynamic and how to harness this - 2, I lead with charisma, the ability to influence and shape the team, and a single-minded determination to deliver - 4, I lead by presenting the objectives of the organization and the goals of my boss and engage the team to ensure execution is the focus - 3</t>
  </si>
  <si>
    <t>Manipulative, political, demanding, icy, envious, furious, and a “win or die” attitude - 4, Over-emotional, self-obsessed, easily enraged, scattered, cliquish, destructive, and hell-bent - 2, Anxious, blinded by the loyalty to my boss, officious, dismissive, and passive aggressive - 3, Cold, disdainful, intimidating, unforgiving, and overly reliant on hard facts - 1</t>
  </si>
  <si>
    <t>My power lives in my people. I am genuinely most powerful in a collective, and I build teams that are greater than the sum of their parts - 2, I hold power with quiet authority. I know I have it, I do not need to demonstrate it, and I use it to create clarity and direction for those around me - 1, My power is relational, it flows from my deep understanding of my leader and organisation, and I am most effective when that relationship is strong and trusted - 3, I understand power instinctively - where it sits, how it moves, and how to position myself within it to achieve what I am here to achieve - 4</t>
  </si>
  <si>
    <t>119155944476</t>
  </si>
  <si>
    <t>2026-07-06T04:11:18</t>
  </si>
  <si>
    <t>2026-07-06T04:30:53</t>
  </si>
  <si>
    <t>19:35</t>
  </si>
  <si>
    <t>Jill Shapiro</t>
  </si>
  <si>
    <t>Determination, charisma, and an innate understanding of the organization’s power structures - 3, An inspiring passion and intuitive understanding of individual and team dynamics - 4, The wisdom of my experience and an understanding of team dynamic - 2, The ability to amplify the reach of my boss and provide the behind the scenes insights - 1</t>
  </si>
  <si>
    <t>Information, evidence, and the informed insights from others that I trust - 3, My instinct and gut in making sense of data and evidence and collaborating with others to assist me - 1, My ability to understand the implications of information and which stakeholders need to be included in the decision-making process - 2, My network’s strategic knowledge and my innate understanding of what they need to get the job done - 4</t>
  </si>
  <si>
    <t>Chaos where the ultimate decision makers are not willing to make clear, tough decisions - 2, Lack of access to corporate knowledge and being sidelined from the decision-making process - 1, Over-reliance on cold, hard facts with little nuanced understanding of the people impact - 3, Lack of opportunity and an inability to have a visible and powerful impact - 4</t>
  </si>
  <si>
    <t>I rally the team to tackle the challenge and work together to ensure our success through innovative execution - 4, I figure out the key concerns that the leader has and work to address these to ensure a successful outcome - 1, I clarify the reasons for the challenge, bolster the team where necessary, and double down on execution to ensure my success - 2, I focus on understanding the cause and systematically mitigate the challenge to set us up for success - 3</t>
  </si>
  <si>
    <t>As an influential, power behind the scenes and connected leader - 2, As a passionate, inspiring and intuitive leader - 3, As a wise, calm, and natural leader - 1, As a charismatic, driven, and determined leader - 4</t>
  </si>
  <si>
    <t>To build high performing teams that drive systemic, evidence-based, impactful outcomes - 2, To achieve the best outcome for my boss which bolster the organization’s strategy and benefits its people - 1, To be the best by using my ambition and talent to achieve strategic corporate goals - 3, To bring together outstanding tight-knit teams with healthy cultures to deliver innovative, impactful results - 4</t>
  </si>
  <si>
    <t>I lead with passion, an inspiring narrative, and galvanize the team through a deep intuitive understanding of individual and team dynamics - 4, I lead with analytic clarity, experiential wisdom, and a deep awareness of the team dynamic and how to harness this - 1, I lead with charisma, the ability to influence and shape the team, and a single-minded determination to deliver - 3, I lead by presenting the objectives of the organization and the goals of my boss and engage the team to ensure execution is the focus - 2</t>
  </si>
  <si>
    <t>Manipulative, political, demanding, icy, envious, furious, and a “win or die” attitude - 4, Over-emotional, self-obsessed, easily enraged, scattered, cliquish, destructive, and hell-bent - 3, Anxious, blinded by the loyalty to my boss, officious, dismissive, and passive aggressive - 1, Cold, disdainful, intimidating, unforgiving, and overly reliant on hard facts - 2</t>
  </si>
  <si>
    <t>The deep, intuitive understanding of what is at play, the creative and innovative capabilities I have, and my passion to make it happen - 3, My self-belief and appreciation of my talent and a determination to be the very best at whatever I put my mind to - 1, The belief in my capabilities, an understanding of the data, and a clear understanding of what needs to be achieved - 2, The trust and belief that my leader has in me and my innate abilities to translate their vision into an exceptional performance - 4</t>
  </si>
  <si>
    <t>My power lives in my people. I am genuinely most powerful in a collective, and I build teams that are greater than the sum of their parts - 3, I hold power with quiet authority. I know I have it, I do not need to demonstrate it, and I use it to create clarity and direction for those around me - 1, My power is relational, it flows from my deep understanding of my leader and organisation, and I am most effective when that relationship is strong and trusted - 2, I understand power instinctively - where it sits, how it moves, and how to position myself within it to achieve what I am here to achieve - 4</t>
  </si>
  <si>
    <t>My ambition is channelled through my commitment to my leader and the organisation. I measure success by the quality and success of what we achieve together - 2, I am unambiguously ambitious - for impact, for recognition, for being at the centre of what matters, and for making an impact. And I make no apology for that - 3, My ambition is for the collective. I want to build teams and cultures where people genuinely thrive, and that matters to me as much as any metric - 1, I am ambitious for outcomes and legacy. I believe in stewardship and want to build something that outlasts me. I hold a long view of what success looks like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</si>
</sst>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ptos"/>
    </font>
    <font>
      <sz val="11"/>
      <color rgb="FF0B6889"/>
      <name val="Aptos"/>
    </font>
    <font>
      <sz val="11"/>
      <color rgb="FF603393"/>
      <name val="Aptos"/>
    </font>
    <font>
      <sz val="11"/>
      <color rgb="FFE7BF20"/>
      <name val="Arial"/>
      <family val="2"/>
    </font>
    <font>
      <sz val="11"/>
      <color rgb="FFC12026"/>
      <name val="Aptos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rgb="FF000000"/>
      <name val="Aptos"/>
    </font>
    <font>
      <b/>
      <sz val="12"/>
      <color rgb="FF000000"/>
      <name val="Aptos"/>
    </font>
    <font>
      <b/>
      <sz val="11"/>
      <color rgb="FF000000"/>
      <name val="Arial"/>
      <family val="2"/>
    </font>
    <font>
      <b/>
      <sz val="11"/>
      <color rgb="FF666666"/>
      <name val="Aptos"/>
    </font>
    <font>
      <b/>
      <sz val="11"/>
      <color rgb="FF0B6889"/>
      <name val="Aptos"/>
    </font>
    <font>
      <b/>
      <sz val="11"/>
      <color rgb="FF603393"/>
      <name val="Aptos"/>
    </font>
    <font>
      <b/>
      <sz val="11"/>
      <color rgb="FFE7BF20"/>
      <name val="Aptos"/>
    </font>
    <font>
      <b/>
      <sz val="11"/>
      <color rgb="FFC12026"/>
      <name val="Aptos"/>
    </font>
    <font>
      <i/>
      <sz val="11"/>
      <color rgb="FF000000"/>
      <name val="Arial"/>
      <family val="2"/>
    </font>
    <font>
      <b/>
      <sz val="11"/>
      <color rgb="FF000000"/>
      <name val="Aptos"/>
    </font>
    <font>
      <sz val="11"/>
      <color theme="1"/>
      <name val="Lato"/>
      <family val="2"/>
    </font>
    <font>
      <b/>
      <sz val="11"/>
      <color theme="1"/>
      <name val="Lato"/>
      <family val="2"/>
    </font>
    <font>
      <sz val="14"/>
      <color theme="1"/>
      <name val="Arial"/>
      <family val="2"/>
      <scheme val="minor"/>
    </font>
    <font>
      <b/>
      <sz val="11"/>
      <color rgb="FFFFFFFF"/>
      <name val="Lato"/>
      <family val="2"/>
    </font>
    <font>
      <b/>
      <sz val="14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B6889"/>
        <bgColor rgb="FF0B6889"/>
      </patternFill>
    </fill>
    <fill>
      <patternFill patternType="solid">
        <fgColor rgb="FF603393"/>
        <bgColor rgb="FF603393"/>
      </patternFill>
    </fill>
    <fill>
      <patternFill patternType="solid">
        <fgColor rgb="FFC12026"/>
        <bgColor rgb="FFC12026"/>
      </patternFill>
    </fill>
  </fills>
  <borders count="2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164" fontId="2" fillId="0" borderId="0" xfId="0" applyNumberFormat="1" applyFont="1"/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3" borderId="7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13" xfId="0" applyFont="1" applyFill="1" applyBorder="1" applyAlignment="1">
      <alignment horizontal="center" wrapText="1"/>
    </xf>
    <xf numFmtId="0" fontId="5" fillId="4" borderId="13" xfId="0" applyFont="1" applyFill="1" applyBorder="1" applyAlignment="1">
      <alignment horizontal="center" wrapText="1"/>
    </xf>
    <xf numFmtId="0" fontId="1" fillId="4" borderId="14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2" fillId="0" borderId="11" xfId="0" applyFont="1" applyBorder="1"/>
    <xf numFmtId="0" fontId="2" fillId="0" borderId="12" xfId="0" applyFont="1" applyBorder="1"/>
    <xf numFmtId="0" fontId="6" fillId="0" borderId="13" xfId="0" applyFont="1" applyBorder="1"/>
    <xf numFmtId="0" fontId="6" fillId="0" borderId="11" xfId="0" applyFont="1" applyBorder="1"/>
    <xf numFmtId="0" fontId="6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7" fillId="0" borderId="11" xfId="0" applyFont="1" applyBorder="1"/>
    <xf numFmtId="0" fontId="7" fillId="0" borderId="12" xfId="0" applyFont="1" applyBorder="1"/>
    <xf numFmtId="0" fontId="8" fillId="0" borderId="13" xfId="0" applyFont="1" applyBorder="1"/>
    <xf numFmtId="0" fontId="8" fillId="0" borderId="11" xfId="0" applyFont="1" applyBorder="1"/>
    <xf numFmtId="0" fontId="8" fillId="0" borderId="12" xfId="0" applyFont="1" applyBorder="1"/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7" fillId="0" borderId="13" xfId="0" applyFont="1" applyBorder="1"/>
    <xf numFmtId="0" fontId="7" fillId="0" borderId="14" xfId="0" applyFont="1" applyBorder="1"/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7" fillId="0" borderId="18" xfId="0" applyFont="1" applyBorder="1"/>
    <xf numFmtId="0" fontId="7" fillId="0" borderId="19" xfId="0" applyFont="1" applyBorder="1"/>
    <xf numFmtId="0" fontId="8" fillId="0" borderId="20" xfId="0" applyFont="1" applyBorder="1"/>
    <xf numFmtId="0" fontId="8" fillId="0" borderId="18" xfId="0" applyFont="1" applyBorder="1"/>
    <xf numFmtId="0" fontId="8" fillId="0" borderId="19" xfId="0" applyFont="1" applyBorder="1"/>
    <xf numFmtId="0" fontId="10" fillId="0" borderId="19" xfId="0" applyFont="1" applyBorder="1" applyAlignment="1">
      <alignment horizontal="left"/>
    </xf>
    <xf numFmtId="0" fontId="7" fillId="0" borderId="20" xfId="0" applyFont="1" applyBorder="1"/>
    <xf numFmtId="0" fontId="7" fillId="0" borderId="21" xfId="0" applyFont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12" xfId="0" applyFont="1" applyBorder="1"/>
    <xf numFmtId="0" fontId="15" fillId="4" borderId="12" xfId="0" applyFont="1" applyFill="1" applyBorder="1"/>
    <xf numFmtId="0" fontId="16" fillId="0" borderId="0" xfId="0" applyFont="1"/>
    <xf numFmtId="0" fontId="17" fillId="0" borderId="12" xfId="0" applyFont="1" applyBorder="1"/>
    <xf numFmtId="0" fontId="18" fillId="0" borderId="12" xfId="0" applyFont="1" applyBorder="1"/>
    <xf numFmtId="0" fontId="18" fillId="0" borderId="12" xfId="0" applyFont="1" applyBorder="1" applyAlignment="1">
      <alignment horizontal="right"/>
    </xf>
    <xf numFmtId="0" fontId="16" fillId="0" borderId="12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19" fillId="4" borderId="0" xfId="0" applyFont="1" applyFill="1" applyAlignment="1">
      <alignment horizontal="left"/>
    </xf>
    <xf numFmtId="0" fontId="20" fillId="0" borderId="0" xfId="0" applyFont="1"/>
    <xf numFmtId="0" fontId="10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1" fillId="4" borderId="22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10" fillId="4" borderId="23" xfId="0" applyFont="1" applyFill="1" applyBorder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0" fillId="4" borderId="16" xfId="0" applyFont="1" applyFill="1" applyBorder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/>
    <xf numFmtId="0" fontId="27" fillId="0" borderId="0" xfId="0" applyFont="1"/>
    <xf numFmtId="0" fontId="29" fillId="5" borderId="12" xfId="0" applyFont="1" applyFill="1" applyBorder="1"/>
    <xf numFmtId="0" fontId="30" fillId="6" borderId="12" xfId="0" applyFont="1" applyFill="1" applyBorder="1"/>
    <xf numFmtId="0" fontId="30" fillId="7" borderId="12" xfId="0" applyFont="1" applyFill="1" applyBorder="1"/>
    <xf numFmtId="0" fontId="31" fillId="0" borderId="0" xfId="0" applyFont="1"/>
    <xf numFmtId="0" fontId="21" fillId="8" borderId="0" xfId="0" applyFont="1" applyFill="1" applyAlignment="1">
      <alignment horizontal="left"/>
    </xf>
    <xf numFmtId="0" fontId="29" fillId="8" borderId="12" xfId="0" applyFont="1" applyFill="1" applyBorder="1"/>
    <xf numFmtId="0" fontId="32" fillId="9" borderId="12" xfId="0" applyFont="1" applyFill="1" applyBorder="1"/>
    <xf numFmtId="0" fontId="32" fillId="10" borderId="12" xfId="0" applyFont="1" applyFill="1" applyBorder="1"/>
    <xf numFmtId="0" fontId="33" fillId="4" borderId="0" xfId="0" applyFont="1" applyFill="1" applyAlignment="1">
      <alignment horizontal="left"/>
    </xf>
    <xf numFmtId="0" fontId="32" fillId="11" borderId="12" xfId="0" applyFont="1" applyFill="1" applyBorder="1"/>
    <xf numFmtId="0" fontId="9" fillId="0" borderId="0" xfId="0" applyFont="1"/>
    <xf numFmtId="0" fontId="1" fillId="0" borderId="0" xfId="0" applyFont="1"/>
    <xf numFmtId="0" fontId="2" fillId="0" borderId="0" xfId="0" quotePrefix="1" applyFont="1"/>
  </cellXfs>
  <cellStyles count="1">
    <cellStyle name="Normal" xfId="0" builtinId="0"/>
  </cellStyles>
  <dxfs count="329"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ont>
        <color rgb="FF000000"/>
      </font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ill>
        <patternFill patternType="solid">
          <fgColor rgb="FFC12026"/>
          <bgColor rgb="FFC12026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ont>
        <b/>
      </font>
      <fill>
        <patternFill patternType="solid">
          <fgColor rgb="FFCCCCCC"/>
          <bgColor rgb="FFCC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theme="0"/>
      </font>
      <fill>
        <patternFill patternType="solid">
          <fgColor rgb="FF603393"/>
          <bgColor rgb="FF603393"/>
        </patternFill>
      </fill>
    </dxf>
    <dxf>
      <font>
        <color theme="0"/>
      </font>
      <fill>
        <patternFill patternType="solid">
          <fgColor rgb="FFC12026"/>
          <bgColor rgb="FFC12026"/>
        </patternFill>
      </fill>
    </dxf>
    <dxf>
      <font>
        <color theme="0"/>
      </font>
      <fill>
        <patternFill patternType="solid">
          <fgColor rgb="FF0B6889"/>
          <bgColor rgb="FF0B6889"/>
        </patternFill>
      </fill>
    </dxf>
    <dxf>
      <font>
        <color theme="0"/>
      </font>
      <fill>
        <patternFill patternType="solid">
          <fgColor rgb="FFE7BF20"/>
          <bgColor rgb="FFE7BF2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ont>
        <color rgb="FF000000"/>
      </font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BBC04"/>
          <bgColor rgb="FFFBBC04"/>
        </patternFill>
      </fill>
    </dxf>
    <dxf>
      <fill>
        <patternFill patternType="solid">
          <fgColor rgb="FFFBBC04"/>
          <bgColor rgb="FFFBBC04"/>
        </patternFill>
      </fill>
    </dxf>
    <dxf>
      <font>
        <color rgb="FFE7BF20"/>
      </font>
      <fill>
        <patternFill patternType="solid">
          <fgColor theme="0"/>
          <bgColor theme="0"/>
        </patternFill>
      </fill>
    </dxf>
    <dxf>
      <font>
        <color rgb="FFC12026"/>
      </font>
      <fill>
        <patternFill patternType="solid">
          <fgColor theme="0"/>
          <bgColor theme="0"/>
        </patternFill>
      </fill>
    </dxf>
    <dxf>
      <font>
        <color rgb="FF0B6889"/>
      </font>
      <fill>
        <patternFill patternType="solid">
          <fgColor theme="0"/>
          <bgColor theme="0"/>
        </patternFill>
      </fill>
    </dxf>
    <dxf>
      <font>
        <color rgb="FF603393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19900" cy="5791200"/>
    <xdr:pic>
      <xdr:nvPicPr>
        <xdr:cNvPr id="579050022" name="Chart1" title="Chart">
          <a:extLst>
            <a:ext uri="{FF2B5EF4-FFF2-40B4-BE49-F238E27FC236}">
              <a16:creationId xmlns:a16="http://schemas.microsoft.com/office/drawing/2014/main" id="{00000000-0008-0000-0400-0000269A832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285750</xdr:colOff>
      <xdr:row>49</xdr:row>
      <xdr:rowOff>133350</xdr:rowOff>
    </xdr:from>
    <xdr:ext cx="4048125" cy="2800350"/>
    <xdr:pic>
      <xdr:nvPicPr>
        <xdr:cNvPr id="2038897112" name="Chart2" title="Chart">
          <a:extLst>
            <a:ext uri="{FF2B5EF4-FFF2-40B4-BE49-F238E27FC236}">
              <a16:creationId xmlns:a16="http://schemas.microsoft.com/office/drawing/2014/main" id="{00000000-0008-0000-0400-0000D819877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1409700</xdr:colOff>
      <xdr:row>18</xdr:row>
      <xdr:rowOff>28575</xdr:rowOff>
    </xdr:from>
    <xdr:ext cx="6762750" cy="5743575"/>
    <xdr:pic>
      <xdr:nvPicPr>
        <xdr:cNvPr id="214640405" name="Chart3" title="Chart">
          <a:extLst>
            <a:ext uri="{FF2B5EF4-FFF2-40B4-BE49-F238E27FC236}">
              <a16:creationId xmlns:a16="http://schemas.microsoft.com/office/drawing/2014/main" id="{00000000-0008-0000-0500-00001527CB0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753087927" name="Chart4" title="Chart">
          <a:extLst>
            <a:ext uri="{FF2B5EF4-FFF2-40B4-BE49-F238E27FC236}">
              <a16:creationId xmlns:a16="http://schemas.microsoft.com/office/drawing/2014/main" id="{00000000-0008-0000-0600-0000B7FF7D6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446220348" name="Chart5" title="Chart">
          <a:extLst>
            <a:ext uri="{FF2B5EF4-FFF2-40B4-BE49-F238E27FC236}">
              <a16:creationId xmlns:a16="http://schemas.microsoft.com/office/drawing/2014/main" id="{00000000-0008-0000-0700-00003C92335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018709606" name="Chart6" title="Chart">
          <a:extLst>
            <a:ext uri="{FF2B5EF4-FFF2-40B4-BE49-F238E27FC236}">
              <a16:creationId xmlns:a16="http://schemas.microsoft.com/office/drawing/2014/main" id="{00000000-0008-0000-0800-00006646B83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807529903" name="Chart7" title="Chart">
          <a:extLst>
            <a:ext uri="{FF2B5EF4-FFF2-40B4-BE49-F238E27FC236}">
              <a16:creationId xmlns:a16="http://schemas.microsoft.com/office/drawing/2014/main" id="{00000000-0008-0000-0900-0000AFED213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249527739" name="Chart8" title="Chart">
          <a:extLst>
            <a:ext uri="{FF2B5EF4-FFF2-40B4-BE49-F238E27FC236}">
              <a16:creationId xmlns:a16="http://schemas.microsoft.com/office/drawing/2014/main" id="{00000000-0008-0000-0A00-0000BB477A4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575741541" name="Chart9" title="Chart">
          <a:extLst>
            <a:ext uri="{FF2B5EF4-FFF2-40B4-BE49-F238E27FC236}">
              <a16:creationId xmlns:a16="http://schemas.microsoft.com/office/drawing/2014/main" id="{00000000-0008-0000-0B00-0000651E512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483316811" name="Chart10" title="Chart">
          <a:extLst>
            <a:ext uri="{FF2B5EF4-FFF2-40B4-BE49-F238E27FC236}">
              <a16:creationId xmlns:a16="http://schemas.microsoft.com/office/drawing/2014/main" id="{00000000-0008-0000-0C00-00004B9E695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50188562" name="Chart11" title="Chart">
          <a:extLst>
            <a:ext uri="{FF2B5EF4-FFF2-40B4-BE49-F238E27FC236}">
              <a16:creationId xmlns:a16="http://schemas.microsoft.com/office/drawing/2014/main" id="{00000000-0008-0000-0D00-000012D1FD0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030557475" name="Chart12" title="Chart">
          <a:extLst>
            <a:ext uri="{FF2B5EF4-FFF2-40B4-BE49-F238E27FC236}">
              <a16:creationId xmlns:a16="http://schemas.microsoft.com/office/drawing/2014/main" id="{00000000-0008-0000-0E00-0000230F6D3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205850679" name="Chart13" title="Chart">
          <a:extLst>
            <a:ext uri="{FF2B5EF4-FFF2-40B4-BE49-F238E27FC236}">
              <a16:creationId xmlns:a16="http://schemas.microsoft.com/office/drawing/2014/main" id="{00000000-0008-0000-0F00-000037D2DF4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895042740" name="Chart14" title="Chart">
          <a:extLst>
            <a:ext uri="{FF2B5EF4-FFF2-40B4-BE49-F238E27FC236}">
              <a16:creationId xmlns:a16="http://schemas.microsoft.com/office/drawing/2014/main" id="{00000000-0008-0000-1000-0000B444593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53020578" name="Chart15" title="Chart">
          <a:extLst>
            <a:ext uri="{FF2B5EF4-FFF2-40B4-BE49-F238E27FC236}">
              <a16:creationId xmlns:a16="http://schemas.microsoft.com/office/drawing/2014/main" id="{00000000-0008-0000-1100-0000A207290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937768712" name="Chart16" title="Chart">
          <a:extLst>
            <a:ext uri="{FF2B5EF4-FFF2-40B4-BE49-F238E27FC236}">
              <a16:creationId xmlns:a16="http://schemas.microsoft.com/office/drawing/2014/main" id="{00000000-0008-0000-1200-00000801807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986651366" name="Chart17" title="Chart">
          <a:extLst>
            <a:ext uri="{FF2B5EF4-FFF2-40B4-BE49-F238E27FC236}">
              <a16:creationId xmlns:a16="http://schemas.microsoft.com/office/drawing/2014/main" id="{00000000-0008-0000-1300-0000E6E4697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852714820" name="Chart18" title="Chart">
          <a:extLst>
            <a:ext uri="{FF2B5EF4-FFF2-40B4-BE49-F238E27FC236}">
              <a16:creationId xmlns:a16="http://schemas.microsoft.com/office/drawing/2014/main" id="{00000000-0008-0000-1400-0000442F6E6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566128671" name="Chart19" title="Chart">
          <a:extLst>
            <a:ext uri="{FF2B5EF4-FFF2-40B4-BE49-F238E27FC236}">
              <a16:creationId xmlns:a16="http://schemas.microsoft.com/office/drawing/2014/main" id="{00000000-0008-0000-1500-00001F70BE2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886619157" name="Chart20" title="Chart">
          <a:extLst>
            <a:ext uri="{FF2B5EF4-FFF2-40B4-BE49-F238E27FC236}">
              <a16:creationId xmlns:a16="http://schemas.microsoft.com/office/drawing/2014/main" id="{00000000-0008-0000-1600-000015BCD83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0</xdr:rowOff>
    </xdr:from>
    <xdr:ext cx="6838950" cy="5819775"/>
    <xdr:pic>
      <xdr:nvPicPr>
        <xdr:cNvPr id="1769391139" name="Chart21" title="Chart">
          <a:extLst>
            <a:ext uri="{FF2B5EF4-FFF2-40B4-BE49-F238E27FC236}">
              <a16:creationId xmlns:a16="http://schemas.microsoft.com/office/drawing/2014/main" id="{00000000-0008-0000-1700-000023C476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17</xdr:row>
      <xdr:rowOff>0</xdr:rowOff>
    </xdr:from>
    <xdr:ext cx="7524750" cy="5819775"/>
    <xdr:pic>
      <xdr:nvPicPr>
        <xdr:cNvPr id="939505008" name="Chart22" title="Chart">
          <a:extLst>
            <a:ext uri="{FF2B5EF4-FFF2-40B4-BE49-F238E27FC236}">
              <a16:creationId xmlns:a16="http://schemas.microsoft.com/office/drawing/2014/main" id="{00000000-0008-0000-1800-000070B5FF3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L22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6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t="15.75" customHeight="1" x14ac:dyDescent="0.15">
      <c r="A2" s="2">
        <v>119117321355</v>
      </c>
      <c r="B2" s="3">
        <v>46154.565312500003</v>
      </c>
      <c r="C2" s="3">
        <v>46154.565717592595</v>
      </c>
      <c r="D2" s="2" t="s">
        <v>64</v>
      </c>
      <c r="E2" s="2">
        <v>35</v>
      </c>
      <c r="F2" s="2" t="s">
        <v>65</v>
      </c>
      <c r="G2" s="2" t="s">
        <v>66</v>
      </c>
      <c r="H2" s="2" t="s">
        <v>66</v>
      </c>
      <c r="I2" s="2" t="s">
        <v>66</v>
      </c>
      <c r="J2" s="2">
        <v>464641143</v>
      </c>
      <c r="K2" s="2" t="s">
        <v>67</v>
      </c>
      <c r="L2" s="2" t="s">
        <v>66</v>
      </c>
      <c r="M2" s="2" t="s">
        <v>68</v>
      </c>
      <c r="N2" s="2" t="s">
        <v>69</v>
      </c>
      <c r="O2" s="2" t="s">
        <v>70</v>
      </c>
      <c r="P2" s="2" t="s">
        <v>71</v>
      </c>
      <c r="Q2" s="2">
        <v>1</v>
      </c>
      <c r="R2" s="2">
        <v>2</v>
      </c>
      <c r="S2" s="2">
        <v>3</v>
      </c>
      <c r="T2" s="2">
        <v>4</v>
      </c>
      <c r="U2" s="2">
        <v>1</v>
      </c>
      <c r="V2" s="2">
        <v>2</v>
      </c>
      <c r="W2" s="2">
        <v>3</v>
      </c>
      <c r="X2" s="2">
        <v>4</v>
      </c>
      <c r="Y2" s="2">
        <v>1</v>
      </c>
      <c r="Z2" s="2">
        <v>2</v>
      </c>
      <c r="AA2" s="2">
        <v>3</v>
      </c>
      <c r="AB2" s="2">
        <v>4</v>
      </c>
      <c r="AC2" s="2">
        <v>1</v>
      </c>
      <c r="AD2" s="2">
        <v>2</v>
      </c>
      <c r="AE2" s="2">
        <v>3</v>
      </c>
      <c r="AF2" s="2">
        <v>4</v>
      </c>
      <c r="AG2" s="2">
        <v>1</v>
      </c>
      <c r="AH2" s="2">
        <v>2</v>
      </c>
      <c r="AI2" s="2">
        <v>3</v>
      </c>
      <c r="AJ2" s="2">
        <v>4</v>
      </c>
      <c r="AK2" s="2">
        <v>1</v>
      </c>
      <c r="AL2" s="2">
        <v>2</v>
      </c>
      <c r="AM2" s="2">
        <v>3</v>
      </c>
      <c r="AN2" s="2">
        <v>4</v>
      </c>
      <c r="AO2" s="2">
        <v>1</v>
      </c>
      <c r="AP2" s="2">
        <v>2</v>
      </c>
      <c r="AQ2" s="2">
        <v>3</v>
      </c>
      <c r="AR2" s="2">
        <v>4</v>
      </c>
      <c r="AS2" s="2">
        <v>1</v>
      </c>
      <c r="AT2" s="2">
        <v>2</v>
      </c>
      <c r="AU2" s="2">
        <v>3</v>
      </c>
      <c r="AV2" s="2">
        <v>4</v>
      </c>
      <c r="AW2" s="2">
        <v>1</v>
      </c>
      <c r="AX2" s="2">
        <v>2</v>
      </c>
      <c r="AY2" s="2">
        <v>3</v>
      </c>
      <c r="AZ2" s="2">
        <v>4</v>
      </c>
      <c r="BA2" s="2">
        <v>1</v>
      </c>
      <c r="BB2" s="2">
        <v>2</v>
      </c>
      <c r="BC2" s="2">
        <v>3</v>
      </c>
      <c r="BD2" s="2">
        <v>4</v>
      </c>
      <c r="BE2" s="2">
        <v>1</v>
      </c>
      <c r="BF2" s="2">
        <v>2</v>
      </c>
      <c r="BG2" s="2">
        <v>3</v>
      </c>
      <c r="BH2" s="2">
        <v>4</v>
      </c>
      <c r="BI2" s="2">
        <v>1</v>
      </c>
      <c r="BJ2" s="2">
        <v>2</v>
      </c>
      <c r="BK2" s="2">
        <v>3</v>
      </c>
      <c r="BL2" s="2">
        <v>4</v>
      </c>
    </row>
    <row r="3" spans="1:64" ht="15.75" customHeight="1" x14ac:dyDescent="0.15">
      <c r="A3" s="2">
        <v>119117347207</v>
      </c>
      <c r="B3" s="3">
        <v>46154.620069444441</v>
      </c>
      <c r="C3" s="3">
        <v>46154.62222222222</v>
      </c>
      <c r="D3" s="2" t="s">
        <v>72</v>
      </c>
      <c r="E3" s="2">
        <v>185</v>
      </c>
      <c r="F3" s="2" t="s">
        <v>65</v>
      </c>
      <c r="G3" s="2" t="s">
        <v>66</v>
      </c>
      <c r="H3" s="2" t="s">
        <v>66</v>
      </c>
      <c r="I3" s="2" t="s">
        <v>66</v>
      </c>
      <c r="J3" s="2">
        <v>464641143</v>
      </c>
      <c r="K3" s="2" t="s">
        <v>67</v>
      </c>
      <c r="L3" s="2" t="s">
        <v>66</v>
      </c>
      <c r="M3" s="2" t="s">
        <v>73</v>
      </c>
      <c r="N3" s="2" t="s">
        <v>74</v>
      </c>
      <c r="O3" s="2" t="s">
        <v>75</v>
      </c>
      <c r="P3" s="2" t="s">
        <v>76</v>
      </c>
      <c r="Q3" s="2">
        <v>4</v>
      </c>
      <c r="R3" s="2">
        <v>1</v>
      </c>
      <c r="S3" s="2">
        <v>2</v>
      </c>
      <c r="T3" s="2">
        <v>3</v>
      </c>
      <c r="U3" s="2">
        <v>3</v>
      </c>
      <c r="V3" s="2">
        <v>1</v>
      </c>
      <c r="W3" s="2">
        <v>4</v>
      </c>
      <c r="X3" s="2">
        <v>2</v>
      </c>
      <c r="Y3" s="2">
        <v>1</v>
      </c>
      <c r="Z3" s="2">
        <v>3</v>
      </c>
      <c r="AA3" s="2">
        <v>2</v>
      </c>
      <c r="AB3" s="2">
        <v>4</v>
      </c>
      <c r="AC3" s="2">
        <v>3</v>
      </c>
      <c r="AD3" s="2">
        <v>1</v>
      </c>
      <c r="AE3" s="2">
        <v>4</v>
      </c>
      <c r="AF3" s="2">
        <v>2</v>
      </c>
      <c r="AG3" s="2">
        <v>1</v>
      </c>
      <c r="AH3" s="2">
        <v>3</v>
      </c>
      <c r="AI3" s="2">
        <v>2</v>
      </c>
      <c r="AJ3" s="2">
        <v>4</v>
      </c>
      <c r="AK3" s="2">
        <v>3</v>
      </c>
      <c r="AL3" s="2">
        <v>1</v>
      </c>
      <c r="AM3" s="2">
        <v>2</v>
      </c>
      <c r="AN3" s="2">
        <v>4</v>
      </c>
      <c r="AO3" s="2">
        <v>1</v>
      </c>
      <c r="AP3" s="2">
        <v>3</v>
      </c>
      <c r="AQ3" s="2">
        <v>2</v>
      </c>
      <c r="AR3" s="2">
        <v>4</v>
      </c>
      <c r="AS3" s="2">
        <v>1</v>
      </c>
      <c r="AT3" s="2">
        <v>3</v>
      </c>
      <c r="AU3" s="2">
        <v>2</v>
      </c>
      <c r="AV3" s="2">
        <v>4</v>
      </c>
      <c r="AW3" s="2">
        <v>2</v>
      </c>
      <c r="AX3" s="2">
        <v>3</v>
      </c>
      <c r="AY3" s="2">
        <v>1</v>
      </c>
      <c r="AZ3" s="2">
        <v>4</v>
      </c>
      <c r="BA3" s="2">
        <v>1</v>
      </c>
      <c r="BB3" s="2">
        <v>4</v>
      </c>
      <c r="BC3" s="2">
        <v>2</v>
      </c>
      <c r="BD3" s="2">
        <v>3</v>
      </c>
      <c r="BE3" s="2">
        <v>4</v>
      </c>
      <c r="BF3" s="2">
        <v>3</v>
      </c>
      <c r="BG3" s="2">
        <v>1</v>
      </c>
      <c r="BH3" s="2">
        <v>2</v>
      </c>
      <c r="BI3" s="2">
        <v>4</v>
      </c>
      <c r="BJ3" s="2">
        <v>3</v>
      </c>
      <c r="BK3" s="2">
        <v>2</v>
      </c>
      <c r="BL3" s="2">
        <v>1</v>
      </c>
    </row>
    <row r="4" spans="1:64" ht="15.75" customHeight="1" x14ac:dyDescent="0.15">
      <c r="A4" s="2">
        <v>119138094925</v>
      </c>
      <c r="B4" s="3">
        <v>46183.783449074072</v>
      </c>
      <c r="C4" s="3">
        <v>46183.799502314818</v>
      </c>
      <c r="D4" s="2" t="s">
        <v>77</v>
      </c>
      <c r="E4" s="2">
        <v>1386</v>
      </c>
      <c r="F4" s="2" t="s">
        <v>65</v>
      </c>
      <c r="G4" s="2" t="s">
        <v>66</v>
      </c>
      <c r="H4" s="2" t="s">
        <v>66</v>
      </c>
      <c r="I4" s="2" t="s">
        <v>66</v>
      </c>
      <c r="J4" s="2">
        <v>464641143</v>
      </c>
      <c r="K4" s="2" t="s">
        <v>67</v>
      </c>
      <c r="L4" s="2" t="s">
        <v>66</v>
      </c>
      <c r="M4" s="2" t="s">
        <v>78</v>
      </c>
      <c r="N4" s="2" t="s">
        <v>79</v>
      </c>
      <c r="O4" s="2" t="s">
        <v>80</v>
      </c>
      <c r="P4" s="2" t="s">
        <v>81</v>
      </c>
      <c r="Q4" s="2">
        <v>3</v>
      </c>
      <c r="R4" s="2">
        <v>1</v>
      </c>
      <c r="S4" s="2">
        <v>2</v>
      </c>
      <c r="T4" s="2">
        <v>4</v>
      </c>
      <c r="U4" s="2">
        <v>2</v>
      </c>
      <c r="V4" s="2">
        <v>3</v>
      </c>
      <c r="W4" s="2">
        <v>1</v>
      </c>
      <c r="X4" s="2">
        <v>4</v>
      </c>
      <c r="Y4" s="2">
        <v>1</v>
      </c>
      <c r="Z4" s="2">
        <v>4</v>
      </c>
      <c r="AA4" s="2">
        <v>2</v>
      </c>
      <c r="AB4" s="2">
        <v>3</v>
      </c>
      <c r="AC4" s="2">
        <v>1</v>
      </c>
      <c r="AD4" s="2">
        <v>2</v>
      </c>
      <c r="AE4" s="2">
        <v>3</v>
      </c>
      <c r="AF4" s="2">
        <v>4</v>
      </c>
      <c r="AG4" s="2">
        <v>3</v>
      </c>
      <c r="AH4" s="2">
        <v>4</v>
      </c>
      <c r="AI4" s="2">
        <v>1</v>
      </c>
      <c r="AJ4" s="2">
        <v>2</v>
      </c>
      <c r="AK4" s="2">
        <v>1</v>
      </c>
      <c r="AL4" s="2">
        <v>3</v>
      </c>
      <c r="AM4" s="2">
        <v>2</v>
      </c>
      <c r="AN4" s="2">
        <v>4</v>
      </c>
      <c r="AO4" s="2">
        <v>2</v>
      </c>
      <c r="AP4" s="2">
        <v>3</v>
      </c>
      <c r="AQ4" s="2">
        <v>4</v>
      </c>
      <c r="AR4" s="2">
        <v>1</v>
      </c>
      <c r="AS4" s="2">
        <v>1</v>
      </c>
      <c r="AT4" s="2">
        <v>3</v>
      </c>
      <c r="AU4" s="2">
        <v>2</v>
      </c>
      <c r="AV4" s="2">
        <v>4</v>
      </c>
      <c r="AW4" s="2">
        <v>1</v>
      </c>
      <c r="AX4" s="2">
        <v>4</v>
      </c>
      <c r="AY4" s="2">
        <v>3</v>
      </c>
      <c r="AZ4" s="2">
        <v>2</v>
      </c>
      <c r="BA4" s="2">
        <v>1</v>
      </c>
      <c r="BB4" s="2">
        <v>3</v>
      </c>
      <c r="BC4" s="2">
        <v>2</v>
      </c>
      <c r="BD4" s="2">
        <v>4</v>
      </c>
      <c r="BE4" s="2">
        <v>1</v>
      </c>
      <c r="BF4" s="2">
        <v>2</v>
      </c>
      <c r="BG4" s="2">
        <v>4</v>
      </c>
      <c r="BH4" s="2">
        <v>3</v>
      </c>
      <c r="BI4" s="2">
        <v>2</v>
      </c>
      <c r="BJ4" s="2">
        <v>4</v>
      </c>
      <c r="BK4" s="2">
        <v>1</v>
      </c>
      <c r="BL4" s="2">
        <v>3</v>
      </c>
    </row>
    <row r="5" spans="1:64" ht="15.75" customHeight="1" x14ac:dyDescent="0.15">
      <c r="A5" s="2">
        <v>119146084654</v>
      </c>
      <c r="B5" s="3">
        <v>46193.368784722225</v>
      </c>
      <c r="C5" s="3">
        <v>46193.374618055554</v>
      </c>
      <c r="D5" s="2" t="s">
        <v>82</v>
      </c>
      <c r="E5" s="2">
        <v>504</v>
      </c>
      <c r="F5" s="2" t="s">
        <v>65</v>
      </c>
      <c r="G5" s="2" t="s">
        <v>66</v>
      </c>
      <c r="H5" s="2" t="s">
        <v>66</v>
      </c>
      <c r="I5" s="2" t="s">
        <v>66</v>
      </c>
      <c r="J5" s="2">
        <v>464641143</v>
      </c>
      <c r="K5" s="2" t="s">
        <v>67</v>
      </c>
      <c r="L5" s="2" t="s">
        <v>66</v>
      </c>
      <c r="M5" s="2" t="s">
        <v>83</v>
      </c>
      <c r="N5" s="2" t="s">
        <v>84</v>
      </c>
      <c r="O5" s="2" t="s">
        <v>85</v>
      </c>
      <c r="P5" s="2" t="s">
        <v>86</v>
      </c>
      <c r="Q5" s="2">
        <v>2</v>
      </c>
      <c r="R5" s="2">
        <v>1</v>
      </c>
      <c r="S5" s="2">
        <v>3</v>
      </c>
      <c r="T5" s="2">
        <v>4</v>
      </c>
      <c r="U5" s="2">
        <v>2</v>
      </c>
      <c r="V5" s="2">
        <v>4</v>
      </c>
      <c r="W5" s="2">
        <v>1</v>
      </c>
      <c r="X5" s="2">
        <v>3</v>
      </c>
      <c r="Y5" s="2">
        <v>2</v>
      </c>
      <c r="Z5" s="2">
        <v>4</v>
      </c>
      <c r="AA5" s="2">
        <v>1</v>
      </c>
      <c r="AB5" s="2">
        <v>3</v>
      </c>
      <c r="AC5" s="2">
        <v>2</v>
      </c>
      <c r="AD5" s="2">
        <v>1</v>
      </c>
      <c r="AE5" s="2">
        <v>4</v>
      </c>
      <c r="AF5" s="2">
        <v>3</v>
      </c>
      <c r="AG5" s="2">
        <v>4</v>
      </c>
      <c r="AH5" s="2">
        <v>3</v>
      </c>
      <c r="AI5" s="2">
        <v>1</v>
      </c>
      <c r="AJ5" s="2">
        <v>2</v>
      </c>
      <c r="AK5" s="2">
        <v>3</v>
      </c>
      <c r="AL5" s="2">
        <v>2</v>
      </c>
      <c r="AM5" s="2">
        <v>1</v>
      </c>
      <c r="AN5" s="2">
        <v>4</v>
      </c>
      <c r="AO5" s="2">
        <v>1</v>
      </c>
      <c r="AP5" s="2">
        <v>3</v>
      </c>
      <c r="AQ5" s="2">
        <v>4</v>
      </c>
      <c r="AR5" s="2">
        <v>2</v>
      </c>
      <c r="AS5" s="2">
        <v>2</v>
      </c>
      <c r="AT5" s="2">
        <v>1</v>
      </c>
      <c r="AU5" s="2">
        <v>3</v>
      </c>
      <c r="AV5" s="2">
        <v>4</v>
      </c>
      <c r="AW5" s="2">
        <v>2</v>
      </c>
      <c r="AX5" s="2">
        <v>4</v>
      </c>
      <c r="AY5" s="2">
        <v>3</v>
      </c>
      <c r="AZ5" s="2">
        <v>1</v>
      </c>
      <c r="BA5" s="2">
        <v>1</v>
      </c>
      <c r="BB5" s="2">
        <v>4</v>
      </c>
      <c r="BC5" s="2">
        <v>2</v>
      </c>
      <c r="BD5" s="2">
        <v>3</v>
      </c>
      <c r="BE5" s="2">
        <v>1</v>
      </c>
      <c r="BF5" s="2">
        <v>2</v>
      </c>
      <c r="BG5" s="2">
        <v>4</v>
      </c>
      <c r="BH5" s="2">
        <v>3</v>
      </c>
      <c r="BI5" s="2">
        <v>4</v>
      </c>
      <c r="BJ5" s="2">
        <v>3</v>
      </c>
      <c r="BK5" s="2">
        <v>1</v>
      </c>
      <c r="BL5" s="2">
        <v>2</v>
      </c>
    </row>
    <row r="6" spans="1:64" ht="15.75" customHeight="1" x14ac:dyDescent="0.15">
      <c r="A6" s="2">
        <v>119155726248</v>
      </c>
      <c r="B6" s="3">
        <v>46209.039606481485</v>
      </c>
      <c r="C6" s="3">
        <v>46209.049363425926</v>
      </c>
      <c r="D6" s="2" t="s">
        <v>87</v>
      </c>
      <c r="E6" s="2">
        <v>843</v>
      </c>
      <c r="F6" s="2" t="s">
        <v>65</v>
      </c>
      <c r="G6" s="2" t="s">
        <v>66</v>
      </c>
      <c r="H6" s="2" t="s">
        <v>66</v>
      </c>
      <c r="I6" s="2" t="s">
        <v>66</v>
      </c>
      <c r="J6" s="2">
        <v>464641143</v>
      </c>
      <c r="K6" s="2" t="s">
        <v>67</v>
      </c>
      <c r="L6" s="2" t="s">
        <v>66</v>
      </c>
      <c r="M6" s="2" t="s">
        <v>88</v>
      </c>
      <c r="N6" s="2" t="s">
        <v>89</v>
      </c>
      <c r="O6" s="2" t="s">
        <v>90</v>
      </c>
      <c r="P6" s="2" t="s">
        <v>91</v>
      </c>
      <c r="Q6" s="2">
        <v>3</v>
      </c>
      <c r="R6" s="2">
        <v>2</v>
      </c>
      <c r="S6" s="2">
        <v>1</v>
      </c>
      <c r="T6" s="2">
        <v>4</v>
      </c>
      <c r="U6" s="2">
        <v>3</v>
      </c>
      <c r="V6" s="2">
        <v>1</v>
      </c>
      <c r="W6" s="2">
        <v>4</v>
      </c>
      <c r="X6" s="2">
        <v>2</v>
      </c>
      <c r="Y6" s="2">
        <v>1</v>
      </c>
      <c r="Z6" s="2">
        <v>2</v>
      </c>
      <c r="AA6" s="2">
        <v>3</v>
      </c>
      <c r="AB6" s="2">
        <v>4</v>
      </c>
      <c r="AC6" s="2">
        <v>3</v>
      </c>
      <c r="AD6" s="2">
        <v>1</v>
      </c>
      <c r="AE6" s="2">
        <v>2</v>
      </c>
      <c r="AF6" s="2">
        <v>4</v>
      </c>
      <c r="AG6" s="2">
        <v>1</v>
      </c>
      <c r="AH6" s="2">
        <v>3</v>
      </c>
      <c r="AI6" s="2">
        <v>4</v>
      </c>
      <c r="AJ6" s="2">
        <v>2</v>
      </c>
      <c r="AK6" s="2">
        <v>4</v>
      </c>
      <c r="AL6" s="2">
        <v>1</v>
      </c>
      <c r="AM6" s="2">
        <v>2</v>
      </c>
      <c r="AN6" s="2">
        <v>3</v>
      </c>
      <c r="AO6" s="2">
        <v>1</v>
      </c>
      <c r="AP6" s="2">
        <v>3</v>
      </c>
      <c r="AQ6" s="2">
        <v>4</v>
      </c>
      <c r="AR6" s="2">
        <v>2</v>
      </c>
      <c r="AS6" s="2">
        <v>1</v>
      </c>
      <c r="AT6" s="2">
        <v>2</v>
      </c>
      <c r="AU6" s="2">
        <v>4</v>
      </c>
      <c r="AV6" s="2">
        <v>3</v>
      </c>
      <c r="AW6" s="2">
        <v>4</v>
      </c>
      <c r="AX6" s="2">
        <v>2</v>
      </c>
      <c r="AY6" s="2">
        <v>3</v>
      </c>
      <c r="AZ6" s="2">
        <v>1</v>
      </c>
      <c r="BA6" s="2">
        <v>1</v>
      </c>
      <c r="BB6" s="2">
        <v>3</v>
      </c>
      <c r="BC6" s="2">
        <v>2</v>
      </c>
      <c r="BD6" s="2">
        <v>4</v>
      </c>
      <c r="BE6" s="2">
        <v>2</v>
      </c>
      <c r="BF6" s="2">
        <v>1</v>
      </c>
      <c r="BG6" s="2">
        <v>3</v>
      </c>
      <c r="BH6" s="2">
        <v>4</v>
      </c>
      <c r="BI6" s="2">
        <v>2</v>
      </c>
      <c r="BJ6" s="2">
        <v>4</v>
      </c>
      <c r="BK6" s="2">
        <v>1</v>
      </c>
      <c r="BL6" s="2">
        <v>3</v>
      </c>
    </row>
    <row r="7" spans="1:64" ht="15.75" customHeight="1" x14ac:dyDescent="0.15">
      <c r="A7" s="2">
        <v>119155944476</v>
      </c>
      <c r="B7" s="3">
        <v>46209.591180555559</v>
      </c>
      <c r="C7" s="3">
        <v>46209.604780092595</v>
      </c>
      <c r="D7" s="2" t="s">
        <v>92</v>
      </c>
      <c r="E7" s="2">
        <v>1175</v>
      </c>
      <c r="F7" s="2" t="s">
        <v>65</v>
      </c>
      <c r="G7" s="2" t="s">
        <v>66</v>
      </c>
      <c r="H7" s="2" t="s">
        <v>66</v>
      </c>
      <c r="I7" s="2" t="s">
        <v>66</v>
      </c>
      <c r="J7" s="2">
        <v>464641143</v>
      </c>
      <c r="K7" s="2" t="s">
        <v>67</v>
      </c>
      <c r="L7" s="2" t="s">
        <v>66</v>
      </c>
      <c r="M7" s="2" t="s">
        <v>93</v>
      </c>
      <c r="N7" s="2" t="s">
        <v>94</v>
      </c>
      <c r="O7" s="2" t="s">
        <v>95</v>
      </c>
      <c r="P7" s="2" t="s">
        <v>96</v>
      </c>
      <c r="Q7" s="2">
        <v>3</v>
      </c>
      <c r="R7" s="2">
        <v>4</v>
      </c>
      <c r="S7" s="2">
        <v>2</v>
      </c>
      <c r="T7" s="2">
        <v>1</v>
      </c>
      <c r="U7" s="2">
        <v>3</v>
      </c>
      <c r="V7" s="2">
        <v>1</v>
      </c>
      <c r="W7" s="2">
        <v>2</v>
      </c>
      <c r="X7" s="2">
        <v>4</v>
      </c>
      <c r="Y7" s="2">
        <v>2</v>
      </c>
      <c r="Z7" s="2">
        <v>1</v>
      </c>
      <c r="AA7" s="2">
        <v>3</v>
      </c>
      <c r="AB7" s="2">
        <v>4</v>
      </c>
      <c r="AC7" s="2">
        <v>1</v>
      </c>
      <c r="AD7" s="2">
        <v>2</v>
      </c>
      <c r="AE7" s="2">
        <v>3</v>
      </c>
      <c r="AF7" s="2">
        <v>4</v>
      </c>
      <c r="AG7" s="2">
        <v>4</v>
      </c>
      <c r="AH7" s="2">
        <v>1</v>
      </c>
      <c r="AI7" s="2">
        <v>2</v>
      </c>
      <c r="AJ7" s="2">
        <v>3</v>
      </c>
      <c r="AK7" s="2">
        <v>2</v>
      </c>
      <c r="AL7" s="2">
        <v>3</v>
      </c>
      <c r="AM7" s="2">
        <v>1</v>
      </c>
      <c r="AN7" s="2">
        <v>4</v>
      </c>
      <c r="AO7" s="2">
        <v>2</v>
      </c>
      <c r="AP7" s="2">
        <v>1</v>
      </c>
      <c r="AQ7" s="2">
        <v>3</v>
      </c>
      <c r="AR7" s="2">
        <v>4</v>
      </c>
      <c r="AS7" s="2">
        <v>4</v>
      </c>
      <c r="AT7" s="2">
        <v>1</v>
      </c>
      <c r="AU7" s="2">
        <v>3</v>
      </c>
      <c r="AV7" s="2">
        <v>2</v>
      </c>
      <c r="AW7" s="2">
        <v>4</v>
      </c>
      <c r="AX7" s="2">
        <v>3</v>
      </c>
      <c r="AY7" s="2">
        <v>1</v>
      </c>
      <c r="AZ7" s="2">
        <v>2</v>
      </c>
      <c r="BA7" s="2">
        <v>3</v>
      </c>
      <c r="BB7" s="2">
        <v>1</v>
      </c>
      <c r="BC7" s="2">
        <v>2</v>
      </c>
      <c r="BD7" s="2">
        <v>4</v>
      </c>
      <c r="BE7" s="2">
        <v>3</v>
      </c>
      <c r="BF7" s="2">
        <v>1</v>
      </c>
      <c r="BG7" s="2">
        <v>2</v>
      </c>
      <c r="BH7" s="2">
        <v>4</v>
      </c>
      <c r="BI7" s="2">
        <v>2</v>
      </c>
      <c r="BJ7" s="2">
        <v>3</v>
      </c>
      <c r="BK7" s="2">
        <v>1</v>
      </c>
      <c r="BL7" s="2">
        <v>4</v>
      </c>
    </row>
    <row r="8" spans="1:64" ht="15.75" customHeight="1" x14ac:dyDescent="0.15">
      <c r="A8" s="2"/>
      <c r="B8" s="3"/>
      <c r="C8" s="3"/>
      <c r="D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5.75" customHeight="1" x14ac:dyDescent="0.15">
      <c r="B9" s="3"/>
      <c r="C9" s="3"/>
    </row>
    <row r="10" spans="1:64" ht="15.75" customHeight="1" x14ac:dyDescent="0.15">
      <c r="B10" s="3"/>
      <c r="C10" s="3"/>
    </row>
    <row r="11" spans="1:64" ht="15.75" customHeight="1" x14ac:dyDescent="0.15">
      <c r="B11" s="3"/>
      <c r="C11" s="3"/>
    </row>
    <row r="12" spans="1:64" ht="15.75" customHeight="1" x14ac:dyDescent="0.15">
      <c r="B12" s="3"/>
      <c r="C12" s="3"/>
    </row>
    <row r="13" spans="1:64" ht="15.75" customHeight="1" x14ac:dyDescent="0.15">
      <c r="B13" s="3"/>
      <c r="C13" s="3"/>
    </row>
    <row r="14" spans="1:64" ht="15.75" customHeight="1" x14ac:dyDescent="0.15">
      <c r="B14" s="3"/>
      <c r="C14" s="3"/>
    </row>
    <row r="15" spans="1:64" ht="15.75" customHeight="1" x14ac:dyDescent="0.15">
      <c r="A15" s="2"/>
      <c r="B15" s="3"/>
      <c r="C15" s="3"/>
      <c r="D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</row>
    <row r="16" spans="1:64" ht="15.75" customHeight="1" x14ac:dyDescent="0.15">
      <c r="A16" s="2"/>
      <c r="B16" s="3"/>
      <c r="C16" s="3"/>
      <c r="D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</row>
    <row r="17" spans="1:64" ht="15.75" customHeight="1" x14ac:dyDescent="0.15">
      <c r="A17" s="2"/>
      <c r="B17" s="3"/>
      <c r="C17" s="3"/>
      <c r="D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</row>
    <row r="18" spans="1:64" ht="15.75" customHeight="1" x14ac:dyDescent="0.15">
      <c r="A18" s="2"/>
      <c r="B18" s="3"/>
      <c r="C18" s="3"/>
      <c r="D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</row>
    <row r="19" spans="1:64" ht="15.75" customHeight="1" x14ac:dyDescent="0.15">
      <c r="A19" s="2"/>
      <c r="B19" s="3"/>
      <c r="C19" s="3"/>
      <c r="D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</row>
    <row r="20" spans="1:64" ht="15.75" customHeight="1" x14ac:dyDescent="0.15">
      <c r="A20" s="2"/>
      <c r="B20" s="3"/>
      <c r="C20" s="3"/>
      <c r="D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</row>
    <row r="21" spans="1:64" ht="15.75" customHeight="1" x14ac:dyDescent="0.15">
      <c r="A21" s="2"/>
      <c r="B21" s="3"/>
      <c r="C21" s="3"/>
      <c r="D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</row>
    <row r="22" spans="1:64" ht="15.75" customHeight="1" x14ac:dyDescent="0.15">
      <c r="A22" s="2"/>
      <c r="B22" s="3"/>
      <c r="C22" s="3"/>
      <c r="D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D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sheetData>
    <row r="1" spans="1:5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97</v>
      </c>
      <c r="AH1" s="1" t="s">
        <v>98</v>
      </c>
      <c r="AI1" s="1" t="s">
        <v>99</v>
      </c>
      <c r="AJ1" s="1" t="s">
        <v>100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ht="15.75" customHeight="1" x14ac:dyDescent="0.15">
      <c r="A2" s="2">
        <v>119046494047</v>
      </c>
      <c r="B2" s="3">
        <v>46051.748657407406</v>
      </c>
      <c r="C2" s="3">
        <v>46051.755983796298</v>
      </c>
      <c r="D2" s="2" t="s">
        <v>101</v>
      </c>
      <c r="E2" s="2">
        <v>633</v>
      </c>
      <c r="F2" s="2" t="s">
        <v>65</v>
      </c>
      <c r="G2" s="2" t="s">
        <v>66</v>
      </c>
      <c r="H2" s="2" t="s">
        <v>66</v>
      </c>
      <c r="I2" s="2" t="s">
        <v>66</v>
      </c>
      <c r="J2" s="2">
        <v>462890650</v>
      </c>
      <c r="K2" s="2" t="s">
        <v>67</v>
      </c>
      <c r="L2" s="2" t="s">
        <v>66</v>
      </c>
      <c r="M2" s="2" t="s">
        <v>102</v>
      </c>
      <c r="N2" s="2" t="s">
        <v>103</v>
      </c>
      <c r="O2" s="2" t="s">
        <v>104</v>
      </c>
      <c r="P2" s="2" t="s">
        <v>105</v>
      </c>
      <c r="Q2" s="2">
        <v>2</v>
      </c>
      <c r="R2" s="2">
        <v>3</v>
      </c>
      <c r="S2" s="2">
        <v>1</v>
      </c>
      <c r="T2" s="2">
        <v>4</v>
      </c>
      <c r="U2" s="2">
        <v>1</v>
      </c>
      <c r="V2" s="2">
        <v>3</v>
      </c>
      <c r="W2" s="2">
        <v>2</v>
      </c>
      <c r="X2" s="2">
        <v>4</v>
      </c>
      <c r="Y2" s="2">
        <v>1</v>
      </c>
      <c r="Z2" s="2">
        <v>3</v>
      </c>
      <c r="AA2" s="2">
        <v>2</v>
      </c>
      <c r="AB2" s="2">
        <v>4</v>
      </c>
      <c r="AC2" s="2">
        <v>3</v>
      </c>
      <c r="AD2" s="2">
        <v>2</v>
      </c>
      <c r="AE2" s="2">
        <v>1</v>
      </c>
      <c r="AF2" s="2">
        <v>4</v>
      </c>
      <c r="AG2" s="2">
        <v>4</v>
      </c>
      <c r="AH2" s="2">
        <v>3</v>
      </c>
      <c r="AI2" s="2">
        <v>2</v>
      </c>
      <c r="AJ2" s="2">
        <v>1</v>
      </c>
      <c r="AK2" s="2">
        <v>1</v>
      </c>
      <c r="AL2" s="2">
        <v>4</v>
      </c>
      <c r="AM2" s="2">
        <v>3</v>
      </c>
      <c r="AN2" s="2">
        <v>2</v>
      </c>
      <c r="AO2" s="2">
        <v>2</v>
      </c>
      <c r="AP2" s="2">
        <v>4</v>
      </c>
      <c r="AQ2" s="2">
        <v>1</v>
      </c>
      <c r="AR2" s="2">
        <v>3</v>
      </c>
      <c r="AS2" s="2">
        <v>4</v>
      </c>
      <c r="AT2" s="2">
        <v>1</v>
      </c>
      <c r="AU2" s="2">
        <v>3</v>
      </c>
      <c r="AV2" s="2">
        <v>2</v>
      </c>
      <c r="AW2" s="2">
        <v>2</v>
      </c>
      <c r="AX2" s="2">
        <v>4</v>
      </c>
      <c r="AY2" s="2">
        <v>3</v>
      </c>
      <c r="AZ2" s="2">
        <v>1</v>
      </c>
      <c r="BA2" s="2">
        <v>3</v>
      </c>
      <c r="BB2" s="2">
        <v>2</v>
      </c>
      <c r="BC2" s="2">
        <v>1</v>
      </c>
      <c r="BD2" s="2">
        <v>4</v>
      </c>
    </row>
    <row r="3" spans="1:56" ht="15.75" customHeight="1" x14ac:dyDescent="0.15">
      <c r="A3" s="2">
        <v>119074346185</v>
      </c>
      <c r="B3" s="3">
        <v>46092.531539351854</v>
      </c>
      <c r="C3" s="3">
        <v>46092.539756944447</v>
      </c>
      <c r="D3" s="2" t="s">
        <v>106</v>
      </c>
      <c r="E3" s="2">
        <v>710</v>
      </c>
      <c r="F3" s="2" t="s">
        <v>65</v>
      </c>
      <c r="G3" s="2" t="s">
        <v>66</v>
      </c>
      <c r="H3" s="2" t="s">
        <v>66</v>
      </c>
      <c r="I3" s="2" t="s">
        <v>66</v>
      </c>
      <c r="J3" s="2">
        <v>462890650</v>
      </c>
      <c r="K3" s="2" t="s">
        <v>67</v>
      </c>
      <c r="L3" s="2" t="s">
        <v>66</v>
      </c>
      <c r="M3" s="2" t="s">
        <v>107</v>
      </c>
      <c r="N3" s="2" t="s">
        <v>108</v>
      </c>
      <c r="O3" s="2" t="s">
        <v>109</v>
      </c>
      <c r="P3" s="2" t="s">
        <v>110</v>
      </c>
      <c r="Q3" s="2">
        <v>2</v>
      </c>
      <c r="R3" s="2">
        <v>1</v>
      </c>
      <c r="S3" s="2">
        <v>3</v>
      </c>
      <c r="T3" s="2">
        <v>4</v>
      </c>
      <c r="U3" s="2">
        <v>1</v>
      </c>
      <c r="V3" s="2">
        <v>2</v>
      </c>
      <c r="W3" s="2">
        <v>3</v>
      </c>
      <c r="X3" s="2">
        <v>4</v>
      </c>
      <c r="Y3" s="2">
        <v>1</v>
      </c>
      <c r="Z3" s="2">
        <v>2</v>
      </c>
      <c r="AA3" s="2">
        <v>3</v>
      </c>
      <c r="AB3" s="2">
        <v>4</v>
      </c>
      <c r="AC3" s="2">
        <v>2</v>
      </c>
      <c r="AD3" s="2">
        <v>1</v>
      </c>
      <c r="AE3" s="2">
        <v>3</v>
      </c>
      <c r="AF3" s="2">
        <v>4</v>
      </c>
      <c r="AG3" s="2">
        <v>3</v>
      </c>
      <c r="AH3" s="2">
        <v>4</v>
      </c>
      <c r="AI3" s="2">
        <v>1</v>
      </c>
      <c r="AJ3" s="2">
        <v>2</v>
      </c>
      <c r="AK3" s="2">
        <v>4</v>
      </c>
      <c r="AL3" s="2">
        <v>2</v>
      </c>
      <c r="AM3" s="2">
        <v>3</v>
      </c>
      <c r="AN3" s="2">
        <v>1</v>
      </c>
      <c r="AO3" s="2">
        <v>2</v>
      </c>
      <c r="AP3" s="2">
        <v>4</v>
      </c>
      <c r="AQ3" s="2">
        <v>3</v>
      </c>
      <c r="AR3" s="2">
        <v>1</v>
      </c>
      <c r="AS3" s="2">
        <v>1</v>
      </c>
      <c r="AT3" s="2">
        <v>3</v>
      </c>
      <c r="AU3" s="2">
        <v>2</v>
      </c>
      <c r="AV3" s="2">
        <v>4</v>
      </c>
      <c r="AW3" s="2">
        <v>1</v>
      </c>
      <c r="AX3" s="2">
        <v>4</v>
      </c>
      <c r="AY3" s="2">
        <v>3</v>
      </c>
      <c r="AZ3" s="2">
        <v>2</v>
      </c>
      <c r="BA3" s="2">
        <v>1</v>
      </c>
      <c r="BB3" s="2">
        <v>3</v>
      </c>
      <c r="BC3" s="2">
        <v>2</v>
      </c>
      <c r="BD3" s="2">
        <v>4</v>
      </c>
    </row>
    <row r="4" spans="1:56" ht="15.75" customHeight="1" x14ac:dyDescent="0.15">
      <c r="A4" s="2">
        <v>119099699143</v>
      </c>
      <c r="B4" s="3">
        <v>46127.864953703705</v>
      </c>
      <c r="C4" s="3">
        <v>46127.873483796298</v>
      </c>
      <c r="D4" s="2" t="s">
        <v>111</v>
      </c>
      <c r="E4" s="2">
        <v>737</v>
      </c>
      <c r="F4" s="2" t="s">
        <v>65</v>
      </c>
      <c r="G4" s="2" t="s">
        <v>66</v>
      </c>
      <c r="H4" s="2" t="s">
        <v>66</v>
      </c>
      <c r="I4" s="2" t="s">
        <v>66</v>
      </c>
      <c r="J4" s="2">
        <v>462890650</v>
      </c>
      <c r="K4" s="2" t="s">
        <v>67</v>
      </c>
      <c r="L4" s="2" t="s">
        <v>66</v>
      </c>
      <c r="M4" s="2" t="s">
        <v>112</v>
      </c>
      <c r="N4" s="2" t="s">
        <v>113</v>
      </c>
      <c r="O4" s="2" t="s">
        <v>114</v>
      </c>
      <c r="P4" s="2" t="s">
        <v>115</v>
      </c>
      <c r="Q4" s="2">
        <v>4</v>
      </c>
      <c r="R4" s="2">
        <v>1</v>
      </c>
      <c r="S4" s="2">
        <v>2</v>
      </c>
      <c r="T4" s="2">
        <v>3</v>
      </c>
      <c r="U4" s="2">
        <v>2</v>
      </c>
      <c r="V4" s="2">
        <v>1</v>
      </c>
      <c r="W4" s="2">
        <v>4</v>
      </c>
      <c r="X4" s="2">
        <v>3</v>
      </c>
      <c r="Y4" s="2">
        <v>1</v>
      </c>
      <c r="Z4" s="2">
        <v>4</v>
      </c>
      <c r="AA4" s="2">
        <v>2</v>
      </c>
      <c r="AB4" s="2">
        <v>3</v>
      </c>
      <c r="AC4" s="2">
        <v>1</v>
      </c>
      <c r="AD4" s="2">
        <v>2</v>
      </c>
      <c r="AE4" s="2">
        <v>4</v>
      </c>
      <c r="AF4" s="2">
        <v>3</v>
      </c>
      <c r="AG4" s="2">
        <v>3</v>
      </c>
      <c r="AH4" s="2">
        <v>4</v>
      </c>
      <c r="AI4" s="2">
        <v>2</v>
      </c>
      <c r="AJ4" s="2">
        <v>1</v>
      </c>
      <c r="AK4" s="2">
        <v>4</v>
      </c>
      <c r="AL4" s="2">
        <v>2</v>
      </c>
      <c r="AM4" s="2">
        <v>1</v>
      </c>
      <c r="AN4" s="2">
        <v>3</v>
      </c>
      <c r="AO4" s="2">
        <v>2</v>
      </c>
      <c r="AP4" s="2">
        <v>3</v>
      </c>
      <c r="AQ4" s="2">
        <v>4</v>
      </c>
      <c r="AR4" s="2">
        <v>1</v>
      </c>
      <c r="AS4" s="2">
        <v>3</v>
      </c>
      <c r="AT4" s="2">
        <v>2</v>
      </c>
      <c r="AU4" s="2">
        <v>4</v>
      </c>
      <c r="AV4" s="2">
        <v>1</v>
      </c>
      <c r="AW4" s="2">
        <v>4</v>
      </c>
      <c r="AX4" s="2">
        <v>1</v>
      </c>
      <c r="AY4" s="2">
        <v>3</v>
      </c>
      <c r="AZ4" s="2">
        <v>2</v>
      </c>
      <c r="BA4" s="2">
        <v>3</v>
      </c>
      <c r="BB4" s="2">
        <v>1</v>
      </c>
      <c r="BC4" s="2">
        <v>2</v>
      </c>
      <c r="BD4" s="2">
        <v>4</v>
      </c>
    </row>
    <row r="5" spans="1:56" ht="15.75" customHeight="1" x14ac:dyDescent="0.15">
      <c r="A5" s="2">
        <v>119111838226</v>
      </c>
      <c r="B5" s="3">
        <v>46146.622534722221</v>
      </c>
      <c r="C5" s="3">
        <v>46146.635451388887</v>
      </c>
      <c r="D5" s="2" t="s">
        <v>116</v>
      </c>
      <c r="E5" s="2">
        <v>1116</v>
      </c>
      <c r="F5" s="2" t="s">
        <v>65</v>
      </c>
      <c r="G5" s="2" t="s">
        <v>66</v>
      </c>
      <c r="H5" s="2" t="s">
        <v>66</v>
      </c>
      <c r="I5" s="2" t="s">
        <v>66</v>
      </c>
      <c r="J5" s="2">
        <v>462890650</v>
      </c>
      <c r="K5" s="2" t="s">
        <v>67</v>
      </c>
      <c r="L5" s="2" t="s">
        <v>66</v>
      </c>
      <c r="M5" s="2" t="s">
        <v>117</v>
      </c>
      <c r="N5" s="2" t="s">
        <v>118</v>
      </c>
      <c r="O5" s="2" t="s">
        <v>119</v>
      </c>
      <c r="P5" s="2" t="s">
        <v>120</v>
      </c>
      <c r="Q5" s="2">
        <v>4</v>
      </c>
      <c r="R5" s="2">
        <v>3</v>
      </c>
      <c r="S5" s="2">
        <v>1</v>
      </c>
      <c r="T5" s="2">
        <v>2</v>
      </c>
      <c r="U5" s="2">
        <v>3</v>
      </c>
      <c r="V5" s="2">
        <v>1</v>
      </c>
      <c r="W5" s="2">
        <v>2</v>
      </c>
      <c r="X5" s="2">
        <v>4</v>
      </c>
      <c r="Y5" s="2">
        <v>1</v>
      </c>
      <c r="Z5" s="2">
        <v>4</v>
      </c>
      <c r="AA5" s="2">
        <v>3</v>
      </c>
      <c r="AB5" s="2">
        <v>2</v>
      </c>
      <c r="AC5" s="2">
        <v>2</v>
      </c>
      <c r="AD5" s="2">
        <v>1</v>
      </c>
      <c r="AE5" s="2">
        <v>3</v>
      </c>
      <c r="AF5" s="2">
        <v>4</v>
      </c>
      <c r="AG5" s="2">
        <v>2</v>
      </c>
      <c r="AH5" s="2">
        <v>3</v>
      </c>
      <c r="AI5" s="2">
        <v>4</v>
      </c>
      <c r="AJ5" s="2">
        <v>1</v>
      </c>
      <c r="AK5" s="2">
        <v>1</v>
      </c>
      <c r="AL5" s="2">
        <v>2</v>
      </c>
      <c r="AM5" s="2">
        <v>3</v>
      </c>
      <c r="AN5" s="2">
        <v>4</v>
      </c>
      <c r="AO5" s="2">
        <v>1</v>
      </c>
      <c r="AP5" s="2">
        <v>2</v>
      </c>
      <c r="AQ5" s="2">
        <v>4</v>
      </c>
      <c r="AR5" s="2">
        <v>3</v>
      </c>
      <c r="AS5" s="2">
        <v>4</v>
      </c>
      <c r="AT5" s="2">
        <v>3</v>
      </c>
      <c r="AU5" s="2">
        <v>2</v>
      </c>
      <c r="AV5" s="2">
        <v>1</v>
      </c>
      <c r="AW5" s="2">
        <v>4</v>
      </c>
      <c r="AX5" s="2">
        <v>2</v>
      </c>
      <c r="AY5" s="2">
        <v>1</v>
      </c>
      <c r="AZ5" s="2">
        <v>3</v>
      </c>
      <c r="BA5" s="2">
        <v>4</v>
      </c>
      <c r="BB5" s="2">
        <v>2</v>
      </c>
      <c r="BC5" s="2">
        <v>1</v>
      </c>
      <c r="BD5" s="2">
        <v>3</v>
      </c>
    </row>
    <row r="6" spans="1:56" ht="15.75" customHeight="1" x14ac:dyDescent="0.15">
      <c r="A6" s="2">
        <v>119111879758</v>
      </c>
      <c r="B6" s="3">
        <v>46146.738749999997</v>
      </c>
      <c r="C6" s="3">
        <v>46146.740439814814</v>
      </c>
      <c r="D6" s="2" t="s">
        <v>121</v>
      </c>
      <c r="E6" s="2">
        <v>146</v>
      </c>
      <c r="F6" s="2" t="s">
        <v>122</v>
      </c>
      <c r="G6" s="2" t="s">
        <v>66</v>
      </c>
      <c r="H6" s="2" t="s">
        <v>66</v>
      </c>
      <c r="I6" s="2" t="s">
        <v>66</v>
      </c>
      <c r="J6" s="2">
        <v>462890650</v>
      </c>
      <c r="K6" s="2" t="s">
        <v>67</v>
      </c>
      <c r="L6" s="2" t="s">
        <v>66</v>
      </c>
      <c r="M6" s="2" t="s">
        <v>123</v>
      </c>
      <c r="N6" s="2" t="s">
        <v>124</v>
      </c>
      <c r="O6" s="2" t="s">
        <v>125</v>
      </c>
      <c r="P6" s="2" t="s">
        <v>126</v>
      </c>
      <c r="Q6" s="2">
        <v>3</v>
      </c>
      <c r="R6" s="2">
        <v>2</v>
      </c>
      <c r="S6" s="2">
        <v>1</v>
      </c>
      <c r="T6" s="2">
        <v>4</v>
      </c>
      <c r="U6" s="2" t="s">
        <v>66</v>
      </c>
      <c r="V6" s="2" t="s">
        <v>66</v>
      </c>
      <c r="W6" s="2" t="s">
        <v>66</v>
      </c>
      <c r="X6" s="2" t="s">
        <v>66</v>
      </c>
      <c r="Y6" s="2" t="s">
        <v>66</v>
      </c>
      <c r="Z6" s="2" t="s">
        <v>66</v>
      </c>
      <c r="AA6" s="2" t="s">
        <v>66</v>
      </c>
      <c r="AB6" s="2" t="s">
        <v>66</v>
      </c>
      <c r="AC6" s="2" t="s">
        <v>66</v>
      </c>
      <c r="AD6" s="2" t="s">
        <v>66</v>
      </c>
      <c r="AE6" s="2" t="s">
        <v>66</v>
      </c>
      <c r="AF6" s="2" t="s">
        <v>66</v>
      </c>
      <c r="AG6" s="2" t="s">
        <v>66</v>
      </c>
      <c r="AH6" s="2" t="s">
        <v>66</v>
      </c>
      <c r="AI6" s="2" t="s">
        <v>66</v>
      </c>
      <c r="AJ6" s="2" t="s">
        <v>66</v>
      </c>
      <c r="AK6" s="2" t="s">
        <v>66</v>
      </c>
      <c r="AL6" s="2" t="s">
        <v>66</v>
      </c>
      <c r="AM6" s="2" t="s">
        <v>66</v>
      </c>
      <c r="AN6" s="2" t="s">
        <v>66</v>
      </c>
      <c r="AO6" s="2" t="s">
        <v>66</v>
      </c>
      <c r="AP6" s="2" t="s">
        <v>66</v>
      </c>
      <c r="AQ6" s="2" t="s">
        <v>66</v>
      </c>
      <c r="AR6" s="2" t="s">
        <v>66</v>
      </c>
      <c r="AS6" s="2" t="s">
        <v>66</v>
      </c>
      <c r="AT6" s="2" t="s">
        <v>66</v>
      </c>
      <c r="AU6" s="2" t="s">
        <v>66</v>
      </c>
      <c r="AV6" s="2" t="s">
        <v>66</v>
      </c>
      <c r="AW6" s="2" t="s">
        <v>66</v>
      </c>
      <c r="AX6" s="2" t="s">
        <v>66</v>
      </c>
      <c r="AY6" s="2" t="s">
        <v>66</v>
      </c>
      <c r="AZ6" s="2" t="s">
        <v>66</v>
      </c>
      <c r="BA6" s="2" t="s">
        <v>66</v>
      </c>
      <c r="BB6" s="2" t="s">
        <v>66</v>
      </c>
      <c r="BC6" s="2" t="s">
        <v>66</v>
      </c>
      <c r="BD6" s="2" t="s">
        <v>66</v>
      </c>
    </row>
    <row r="7" spans="1:56" ht="15.75" customHeight="1" x14ac:dyDescent="0.15">
      <c r="A7" s="2">
        <v>119116046215</v>
      </c>
      <c r="B7" s="3">
        <v>46152.546284722222</v>
      </c>
      <c r="C7" s="3">
        <v>46152.550787037035</v>
      </c>
      <c r="D7" s="2" t="s">
        <v>121</v>
      </c>
      <c r="E7" s="2">
        <v>388</v>
      </c>
      <c r="F7" s="2" t="s">
        <v>65</v>
      </c>
      <c r="G7" s="2" t="s">
        <v>66</v>
      </c>
      <c r="H7" s="2" t="s">
        <v>66</v>
      </c>
      <c r="I7" s="2" t="s">
        <v>66</v>
      </c>
      <c r="J7" s="2">
        <v>462890650</v>
      </c>
      <c r="K7" s="2" t="s">
        <v>67</v>
      </c>
      <c r="L7" s="2" t="s">
        <v>66</v>
      </c>
      <c r="M7" s="2" t="s">
        <v>123</v>
      </c>
      <c r="N7" s="2" t="s">
        <v>124</v>
      </c>
      <c r="O7" s="2" t="s">
        <v>125</v>
      </c>
      <c r="P7" s="2" t="s">
        <v>127</v>
      </c>
      <c r="Q7" s="2">
        <v>3</v>
      </c>
      <c r="R7" s="2">
        <v>1</v>
      </c>
      <c r="S7" s="2">
        <v>2</v>
      </c>
      <c r="T7" s="2">
        <v>4</v>
      </c>
      <c r="U7" s="2">
        <v>2</v>
      </c>
      <c r="V7" s="2">
        <v>1</v>
      </c>
      <c r="W7" s="2">
        <v>4</v>
      </c>
      <c r="X7" s="2">
        <v>3</v>
      </c>
      <c r="Y7" s="2">
        <v>3</v>
      </c>
      <c r="Z7" s="2">
        <v>2</v>
      </c>
      <c r="AA7" s="2">
        <v>4</v>
      </c>
      <c r="AB7" s="2">
        <v>1</v>
      </c>
      <c r="AC7" s="2">
        <v>2</v>
      </c>
      <c r="AD7" s="2">
        <v>4</v>
      </c>
      <c r="AE7" s="2">
        <v>3</v>
      </c>
      <c r="AF7" s="2">
        <v>1</v>
      </c>
      <c r="AG7" s="2">
        <v>1</v>
      </c>
      <c r="AH7" s="2">
        <v>4</v>
      </c>
      <c r="AI7" s="2">
        <v>2</v>
      </c>
      <c r="AJ7" s="2">
        <v>3</v>
      </c>
      <c r="AK7" s="2">
        <v>4</v>
      </c>
      <c r="AL7" s="2">
        <v>2</v>
      </c>
      <c r="AM7" s="2">
        <v>3</v>
      </c>
      <c r="AN7" s="2">
        <v>1</v>
      </c>
      <c r="AO7" s="2">
        <v>3</v>
      </c>
      <c r="AP7" s="2">
        <v>4</v>
      </c>
      <c r="AQ7" s="2">
        <v>2</v>
      </c>
      <c r="AR7" s="2">
        <v>1</v>
      </c>
      <c r="AS7" s="2">
        <v>1</v>
      </c>
      <c r="AT7" s="2">
        <v>3</v>
      </c>
      <c r="AU7" s="2">
        <v>2</v>
      </c>
      <c r="AV7" s="2">
        <v>4</v>
      </c>
      <c r="AW7" s="2">
        <v>3</v>
      </c>
      <c r="AX7" s="2">
        <v>1</v>
      </c>
      <c r="AY7" s="2">
        <v>2</v>
      </c>
      <c r="AZ7" s="2">
        <v>4</v>
      </c>
      <c r="BA7" s="2">
        <v>3</v>
      </c>
      <c r="BB7" s="2">
        <v>1</v>
      </c>
      <c r="BC7" s="2">
        <v>2</v>
      </c>
      <c r="BD7" s="2">
        <v>4</v>
      </c>
    </row>
    <row r="8" spans="1:56" ht="15.75" customHeight="1" x14ac:dyDescent="0.15">
      <c r="A8" s="2">
        <v>119116112761</v>
      </c>
      <c r="B8" s="3">
        <v>46152.794479166667</v>
      </c>
      <c r="C8" s="3">
        <v>46152.804074074076</v>
      </c>
      <c r="D8" s="2" t="s">
        <v>128</v>
      </c>
      <c r="E8" s="2">
        <v>828</v>
      </c>
      <c r="F8" s="2" t="s">
        <v>65</v>
      </c>
      <c r="G8" s="2" t="s">
        <v>66</v>
      </c>
      <c r="H8" s="2" t="s">
        <v>66</v>
      </c>
      <c r="I8" s="2" t="s">
        <v>66</v>
      </c>
      <c r="J8" s="2">
        <v>462890650</v>
      </c>
      <c r="K8" s="2" t="s">
        <v>67</v>
      </c>
      <c r="L8" s="2" t="s">
        <v>66</v>
      </c>
      <c r="M8" s="2" t="s">
        <v>129</v>
      </c>
      <c r="N8" s="2" t="s">
        <v>130</v>
      </c>
      <c r="O8" s="2" t="s">
        <v>131</v>
      </c>
      <c r="P8" s="2" t="s">
        <v>132</v>
      </c>
      <c r="Q8" s="2">
        <v>3</v>
      </c>
      <c r="R8" s="2">
        <v>2</v>
      </c>
      <c r="S8" s="2">
        <v>1</v>
      </c>
      <c r="T8" s="2">
        <v>4</v>
      </c>
      <c r="U8" s="2">
        <v>3</v>
      </c>
      <c r="V8" s="2">
        <v>2</v>
      </c>
      <c r="W8" s="2">
        <v>1</v>
      </c>
      <c r="X8" s="2">
        <v>4</v>
      </c>
      <c r="Y8" s="2">
        <v>3</v>
      </c>
      <c r="Z8" s="2">
        <v>2</v>
      </c>
      <c r="AA8" s="2">
        <v>4</v>
      </c>
      <c r="AB8" s="2">
        <v>1</v>
      </c>
      <c r="AC8" s="2">
        <v>1</v>
      </c>
      <c r="AD8" s="2">
        <v>2</v>
      </c>
      <c r="AE8" s="2">
        <v>3</v>
      </c>
      <c r="AF8" s="2">
        <v>4</v>
      </c>
      <c r="AG8" s="2">
        <v>1</v>
      </c>
      <c r="AH8" s="2">
        <v>2</v>
      </c>
      <c r="AI8" s="2">
        <v>4</v>
      </c>
      <c r="AJ8" s="2">
        <v>3</v>
      </c>
      <c r="AK8" s="2">
        <v>2</v>
      </c>
      <c r="AL8" s="2">
        <v>3</v>
      </c>
      <c r="AM8" s="2">
        <v>1</v>
      </c>
      <c r="AN8" s="2">
        <v>4</v>
      </c>
      <c r="AO8" s="2">
        <v>2</v>
      </c>
      <c r="AP8" s="2">
        <v>3</v>
      </c>
      <c r="AQ8" s="2">
        <v>4</v>
      </c>
      <c r="AR8" s="2">
        <v>1</v>
      </c>
      <c r="AS8" s="2">
        <v>1</v>
      </c>
      <c r="AT8" s="2">
        <v>2</v>
      </c>
      <c r="AU8" s="2">
        <v>3</v>
      </c>
      <c r="AV8" s="2">
        <v>4</v>
      </c>
      <c r="AW8" s="2">
        <v>2</v>
      </c>
      <c r="AX8" s="2">
        <v>1</v>
      </c>
      <c r="AY8" s="2">
        <v>4</v>
      </c>
      <c r="AZ8" s="2">
        <v>3</v>
      </c>
      <c r="BA8" s="2">
        <v>1</v>
      </c>
      <c r="BB8" s="2">
        <v>2</v>
      </c>
      <c r="BC8" s="2">
        <v>3</v>
      </c>
      <c r="BD8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W1006"/>
  <sheetViews>
    <sheetView workbookViewId="0"/>
  </sheetViews>
  <sheetFormatPr baseColWidth="10" defaultColWidth="12.6640625" defaultRowHeight="15.75" customHeight="1" x14ac:dyDescent="0.15"/>
  <cols>
    <col min="1" max="1" width="21.33203125" customWidth="1"/>
    <col min="2" max="2" width="17.6640625" customWidth="1"/>
    <col min="3" max="3" width="15" customWidth="1"/>
    <col min="4" max="4" width="14.6640625" customWidth="1"/>
    <col min="5" max="6" width="14.1640625" customWidth="1"/>
    <col min="7" max="7" width="15.1640625" customWidth="1"/>
    <col min="8" max="10" width="14.1640625" customWidth="1"/>
    <col min="11" max="11" width="13.33203125" customWidth="1"/>
    <col min="12" max="12" width="15" customWidth="1"/>
    <col min="13" max="13" width="15.1640625" customWidth="1"/>
    <col min="14" max="14" width="14.6640625" customWidth="1"/>
    <col min="15" max="15" width="13.6640625" customWidth="1"/>
    <col min="16" max="17" width="14.6640625" customWidth="1"/>
    <col min="18" max="18" width="16" customWidth="1"/>
    <col min="19" max="19" width="14.1640625" customWidth="1"/>
    <col min="20" max="20" width="16.1640625" customWidth="1"/>
    <col min="21" max="22" width="14.1640625" customWidth="1"/>
    <col min="23" max="23" width="13.1640625" customWidth="1"/>
    <col min="24" max="24" width="15.1640625" customWidth="1"/>
    <col min="25" max="25" width="14.6640625" customWidth="1"/>
    <col min="26" max="26" width="13.6640625" customWidth="1"/>
    <col min="27" max="27" width="13.33203125" customWidth="1"/>
    <col min="28" max="28" width="15.33203125" customWidth="1"/>
    <col min="29" max="29" width="16.1640625" customWidth="1"/>
    <col min="30" max="30" width="13.6640625" customWidth="1"/>
    <col min="31" max="31" width="13.33203125" customWidth="1"/>
    <col min="32" max="32" width="15.6640625" customWidth="1"/>
    <col min="33" max="33" width="14.83203125" customWidth="1"/>
    <col min="34" max="34" width="14" customWidth="1"/>
    <col min="35" max="35" width="13.6640625" customWidth="1"/>
    <col min="36" max="36" width="16.1640625" customWidth="1"/>
    <col min="37" max="38" width="14.6640625" customWidth="1"/>
    <col min="39" max="39" width="14" customWidth="1"/>
    <col min="40" max="49" width="15.1640625" customWidth="1"/>
  </cols>
  <sheetData>
    <row r="1" spans="1:49" ht="24.75" customHeight="1" x14ac:dyDescent="0.2">
      <c r="B1" s="4">
        <v>1</v>
      </c>
      <c r="C1" s="5">
        <v>1</v>
      </c>
      <c r="D1" s="5">
        <v>1</v>
      </c>
      <c r="E1" s="6">
        <v>1</v>
      </c>
      <c r="F1" s="7">
        <v>2</v>
      </c>
      <c r="G1" s="8">
        <v>2</v>
      </c>
      <c r="H1" s="8">
        <v>2</v>
      </c>
      <c r="I1" s="6">
        <v>2</v>
      </c>
      <c r="J1" s="4">
        <v>3</v>
      </c>
      <c r="K1" s="5">
        <v>3</v>
      </c>
      <c r="L1" s="5">
        <v>3</v>
      </c>
      <c r="M1" s="9">
        <v>3</v>
      </c>
      <c r="N1" s="4">
        <v>4</v>
      </c>
      <c r="O1" s="5">
        <v>4</v>
      </c>
      <c r="P1" s="5">
        <v>4</v>
      </c>
      <c r="Q1" s="9">
        <v>4</v>
      </c>
      <c r="R1" s="4">
        <v>5</v>
      </c>
      <c r="S1" s="5">
        <v>5</v>
      </c>
      <c r="T1" s="5">
        <v>5</v>
      </c>
      <c r="U1" s="9">
        <v>5</v>
      </c>
      <c r="V1" s="4">
        <v>6</v>
      </c>
      <c r="W1" s="5">
        <v>6</v>
      </c>
      <c r="X1" s="5">
        <v>6</v>
      </c>
      <c r="Y1" s="9">
        <v>6</v>
      </c>
      <c r="Z1" s="4">
        <v>7</v>
      </c>
      <c r="AA1" s="5">
        <v>7</v>
      </c>
      <c r="AB1" s="5">
        <v>7</v>
      </c>
      <c r="AC1" s="9">
        <v>7</v>
      </c>
      <c r="AD1" s="4">
        <v>8</v>
      </c>
      <c r="AE1" s="5">
        <v>8</v>
      </c>
      <c r="AF1" s="5">
        <v>8</v>
      </c>
      <c r="AG1" s="9">
        <v>8</v>
      </c>
      <c r="AH1" s="4">
        <v>9</v>
      </c>
      <c r="AI1" s="5">
        <v>9</v>
      </c>
      <c r="AJ1" s="5">
        <v>9</v>
      </c>
      <c r="AK1" s="9">
        <v>9</v>
      </c>
      <c r="AL1" s="4">
        <v>10</v>
      </c>
      <c r="AM1" s="5">
        <v>10</v>
      </c>
      <c r="AN1" s="5">
        <v>10</v>
      </c>
      <c r="AO1" s="5">
        <v>10</v>
      </c>
      <c r="AP1" s="10">
        <v>11</v>
      </c>
      <c r="AQ1" s="11">
        <v>11</v>
      </c>
      <c r="AR1" s="11">
        <v>11</v>
      </c>
      <c r="AS1" s="12">
        <v>11</v>
      </c>
      <c r="AT1" s="13">
        <v>12</v>
      </c>
      <c r="AU1" s="13">
        <v>12</v>
      </c>
      <c r="AV1" s="13">
        <v>12</v>
      </c>
      <c r="AW1" s="13">
        <v>12</v>
      </c>
    </row>
    <row r="2" spans="1:49" ht="42.75" customHeight="1" x14ac:dyDescent="0.2">
      <c r="B2" s="14" t="s">
        <v>133</v>
      </c>
      <c r="C2" s="15" t="s">
        <v>134</v>
      </c>
      <c r="D2" s="15" t="s">
        <v>135</v>
      </c>
      <c r="E2" s="16" t="s">
        <v>136</v>
      </c>
      <c r="F2" s="17" t="s">
        <v>133</v>
      </c>
      <c r="G2" s="18" t="s">
        <v>134</v>
      </c>
      <c r="H2" s="18" t="s">
        <v>135</v>
      </c>
      <c r="I2" s="16" t="s">
        <v>136</v>
      </c>
      <c r="J2" s="14" t="s">
        <v>133</v>
      </c>
      <c r="K2" s="15" t="s">
        <v>134</v>
      </c>
      <c r="L2" s="15" t="s">
        <v>135</v>
      </c>
      <c r="M2" s="19" t="s">
        <v>136</v>
      </c>
      <c r="N2" s="14" t="s">
        <v>133</v>
      </c>
      <c r="O2" s="15" t="s">
        <v>134</v>
      </c>
      <c r="P2" s="15" t="s">
        <v>135</v>
      </c>
      <c r="Q2" s="19" t="s">
        <v>136</v>
      </c>
      <c r="R2" s="14" t="s">
        <v>133</v>
      </c>
      <c r="S2" s="15" t="s">
        <v>134</v>
      </c>
      <c r="T2" s="15" t="s">
        <v>135</v>
      </c>
      <c r="U2" s="19" t="s">
        <v>136</v>
      </c>
      <c r="V2" s="14" t="s">
        <v>133</v>
      </c>
      <c r="W2" s="15" t="s">
        <v>134</v>
      </c>
      <c r="X2" s="15" t="s">
        <v>135</v>
      </c>
      <c r="Y2" s="19" t="s">
        <v>136</v>
      </c>
      <c r="Z2" s="14" t="s">
        <v>133</v>
      </c>
      <c r="AA2" s="15" t="s">
        <v>134</v>
      </c>
      <c r="AB2" s="15" t="s">
        <v>135</v>
      </c>
      <c r="AC2" s="19" t="s">
        <v>136</v>
      </c>
      <c r="AD2" s="14" t="s">
        <v>133</v>
      </c>
      <c r="AE2" s="15" t="s">
        <v>134</v>
      </c>
      <c r="AF2" s="15" t="s">
        <v>135</v>
      </c>
      <c r="AG2" s="19" t="s">
        <v>136</v>
      </c>
      <c r="AH2" s="14" t="s">
        <v>133</v>
      </c>
      <c r="AI2" s="15" t="s">
        <v>134</v>
      </c>
      <c r="AJ2" s="15" t="s">
        <v>135</v>
      </c>
      <c r="AK2" s="19" t="s">
        <v>136</v>
      </c>
      <c r="AL2" s="14" t="s">
        <v>133</v>
      </c>
      <c r="AM2" s="15" t="s">
        <v>134</v>
      </c>
      <c r="AN2" s="15" t="s">
        <v>135</v>
      </c>
      <c r="AO2" s="20" t="s">
        <v>136</v>
      </c>
      <c r="AP2" s="10" t="s">
        <v>133</v>
      </c>
      <c r="AQ2" s="11" t="s">
        <v>134</v>
      </c>
      <c r="AR2" s="11" t="s">
        <v>135</v>
      </c>
      <c r="AS2" s="12" t="s">
        <v>136</v>
      </c>
      <c r="AT2" s="10" t="s">
        <v>133</v>
      </c>
      <c r="AU2" s="11" t="s">
        <v>134</v>
      </c>
      <c r="AV2" s="11" t="s">
        <v>135</v>
      </c>
      <c r="AW2" s="12" t="s">
        <v>136</v>
      </c>
    </row>
    <row r="3" spans="1:49" ht="238" x14ac:dyDescent="0.15">
      <c r="B3" s="21" t="s">
        <v>18</v>
      </c>
      <c r="C3" s="22" t="s">
        <v>17</v>
      </c>
      <c r="D3" s="22" t="s">
        <v>19</v>
      </c>
      <c r="E3" s="23" t="s">
        <v>16</v>
      </c>
      <c r="F3" s="21" t="s">
        <v>20</v>
      </c>
      <c r="G3" s="22" t="s">
        <v>21</v>
      </c>
      <c r="H3" s="22" t="s">
        <v>23</v>
      </c>
      <c r="I3" s="24" t="s">
        <v>22</v>
      </c>
      <c r="J3" s="21" t="s">
        <v>24</v>
      </c>
      <c r="K3" s="22" t="s">
        <v>26</v>
      </c>
      <c r="L3" s="22" t="s">
        <v>25</v>
      </c>
      <c r="M3" s="23" t="s">
        <v>27</v>
      </c>
      <c r="N3" s="21" t="s">
        <v>29</v>
      </c>
      <c r="O3" s="22" t="s">
        <v>28</v>
      </c>
      <c r="P3" s="22" t="s">
        <v>30</v>
      </c>
      <c r="Q3" s="23" t="s">
        <v>31</v>
      </c>
      <c r="R3" s="1" t="s">
        <v>34</v>
      </c>
      <c r="S3" s="1" t="s">
        <v>32</v>
      </c>
      <c r="T3" s="1" t="s">
        <v>33</v>
      </c>
      <c r="U3" s="1" t="s">
        <v>34</v>
      </c>
      <c r="V3" s="21" t="s">
        <v>137</v>
      </c>
      <c r="W3" s="22" t="s">
        <v>138</v>
      </c>
      <c r="X3" s="22" t="s">
        <v>139</v>
      </c>
      <c r="Y3" s="23" t="s">
        <v>140</v>
      </c>
      <c r="Z3" s="21" t="s">
        <v>40</v>
      </c>
      <c r="AA3" s="22" t="s">
        <v>43</v>
      </c>
      <c r="AB3" s="22" t="s">
        <v>141</v>
      </c>
      <c r="AC3" s="23" t="s">
        <v>42</v>
      </c>
      <c r="AD3" s="21" t="s">
        <v>142</v>
      </c>
      <c r="AE3" s="22" t="s">
        <v>143</v>
      </c>
      <c r="AF3" s="22" t="s">
        <v>144</v>
      </c>
      <c r="AG3" s="23" t="s">
        <v>145</v>
      </c>
      <c r="AH3" s="21" t="s">
        <v>146</v>
      </c>
      <c r="AI3" s="22" t="s">
        <v>147</v>
      </c>
      <c r="AJ3" s="22" t="s">
        <v>148</v>
      </c>
      <c r="AK3" s="23" t="s">
        <v>149</v>
      </c>
      <c r="AL3" s="21" t="s">
        <v>54</v>
      </c>
      <c r="AM3" s="22" t="s">
        <v>52</v>
      </c>
      <c r="AN3" s="22" t="s">
        <v>55</v>
      </c>
      <c r="AO3" s="25" t="s">
        <v>150</v>
      </c>
      <c r="AP3" s="26" t="s">
        <v>57</v>
      </c>
      <c r="AQ3" s="27" t="s">
        <v>56</v>
      </c>
      <c r="AR3" s="27" t="s">
        <v>58</v>
      </c>
      <c r="AS3" s="28" t="s">
        <v>59</v>
      </c>
      <c r="AT3" s="26" t="s">
        <v>63</v>
      </c>
      <c r="AU3" s="27" t="s">
        <v>62</v>
      </c>
      <c r="AV3" s="27" t="s">
        <v>60</v>
      </c>
      <c r="AW3" s="28" t="s">
        <v>61</v>
      </c>
    </row>
    <row r="4" spans="1:49" ht="32.25" customHeight="1" x14ac:dyDescent="0.15">
      <c r="B4" s="29" t="s">
        <v>151</v>
      </c>
      <c r="C4" s="30" t="s">
        <v>152</v>
      </c>
      <c r="D4" s="30" t="s">
        <v>153</v>
      </c>
      <c r="E4" s="31" t="s">
        <v>154</v>
      </c>
      <c r="F4" s="32" t="s">
        <v>155</v>
      </c>
      <c r="G4" s="33" t="s">
        <v>156</v>
      </c>
      <c r="H4" s="33" t="s">
        <v>157</v>
      </c>
      <c r="I4" s="31" t="s">
        <v>158</v>
      </c>
      <c r="J4" s="29" t="s">
        <v>159</v>
      </c>
      <c r="K4" s="30" t="s">
        <v>160</v>
      </c>
      <c r="L4" s="30" t="s">
        <v>161</v>
      </c>
      <c r="M4" s="34" t="s">
        <v>162</v>
      </c>
      <c r="N4" s="29" t="s">
        <v>163</v>
      </c>
      <c r="O4" s="30" t="s">
        <v>164</v>
      </c>
      <c r="P4" s="30" t="s">
        <v>165</v>
      </c>
      <c r="Q4" s="34" t="s">
        <v>166</v>
      </c>
      <c r="R4" s="29" t="s">
        <v>167</v>
      </c>
      <c r="S4" s="30" t="s">
        <v>168</v>
      </c>
      <c r="T4" s="30" t="s">
        <v>169</v>
      </c>
      <c r="U4" s="34" t="s">
        <v>170</v>
      </c>
      <c r="V4" s="29" t="s">
        <v>171</v>
      </c>
      <c r="W4" s="30" t="s">
        <v>172</v>
      </c>
      <c r="X4" s="30" t="s">
        <v>173</v>
      </c>
      <c r="Y4" s="34" t="s">
        <v>174</v>
      </c>
      <c r="Z4" s="29" t="s">
        <v>175</v>
      </c>
      <c r="AA4" s="30" t="s">
        <v>176</v>
      </c>
      <c r="AB4" s="30" t="s">
        <v>177</v>
      </c>
      <c r="AC4" s="34" t="s">
        <v>178</v>
      </c>
      <c r="AD4" s="29" t="s">
        <v>179</v>
      </c>
      <c r="AE4" s="30" t="s">
        <v>180</v>
      </c>
      <c r="AF4" s="30" t="s">
        <v>181</v>
      </c>
      <c r="AG4" s="34" t="s">
        <v>182</v>
      </c>
      <c r="AH4" s="29" t="s">
        <v>183</v>
      </c>
      <c r="AI4" s="30" t="s">
        <v>184</v>
      </c>
      <c r="AJ4" s="30" t="s">
        <v>185</v>
      </c>
      <c r="AK4" s="34" t="s">
        <v>186</v>
      </c>
      <c r="AL4" s="29" t="s">
        <v>187</v>
      </c>
      <c r="AM4" s="30" t="s">
        <v>188</v>
      </c>
      <c r="AN4" s="30" t="s">
        <v>189</v>
      </c>
      <c r="AO4" s="35" t="s">
        <v>190</v>
      </c>
      <c r="AP4" s="36" t="s">
        <v>191</v>
      </c>
      <c r="AQ4" s="37" t="s">
        <v>192</v>
      </c>
      <c r="AR4" s="37" t="s">
        <v>193</v>
      </c>
      <c r="AS4" s="38" t="s">
        <v>194</v>
      </c>
      <c r="AT4" s="36" t="s">
        <v>195</v>
      </c>
      <c r="AU4" s="37" t="s">
        <v>196</v>
      </c>
      <c r="AV4" s="37" t="s">
        <v>197</v>
      </c>
      <c r="AW4" s="38" t="s">
        <v>198</v>
      </c>
    </row>
    <row r="5" spans="1:49" ht="14" x14ac:dyDescent="0.15">
      <c r="B5" s="39">
        <v>19</v>
      </c>
      <c r="C5" s="40">
        <v>18</v>
      </c>
      <c r="D5" s="40">
        <v>20</v>
      </c>
      <c r="E5" s="41">
        <v>17</v>
      </c>
      <c r="F5" s="42">
        <v>21</v>
      </c>
      <c r="G5" s="43">
        <v>22</v>
      </c>
      <c r="H5" s="43">
        <v>24</v>
      </c>
      <c r="I5" s="41">
        <v>23</v>
      </c>
      <c r="J5" s="44">
        <v>25</v>
      </c>
      <c r="K5" s="45">
        <v>27</v>
      </c>
      <c r="L5" s="45">
        <v>26</v>
      </c>
      <c r="M5" s="46">
        <v>28</v>
      </c>
      <c r="N5" s="44">
        <v>30</v>
      </c>
      <c r="O5" s="45">
        <v>29</v>
      </c>
      <c r="P5" s="45">
        <v>31</v>
      </c>
      <c r="Q5" s="46">
        <v>32</v>
      </c>
      <c r="R5" s="44">
        <v>36</v>
      </c>
      <c r="S5" s="45">
        <v>33</v>
      </c>
      <c r="T5" s="45">
        <v>34</v>
      </c>
      <c r="U5" s="46">
        <v>35</v>
      </c>
      <c r="V5" s="44">
        <v>39</v>
      </c>
      <c r="W5" s="45">
        <v>38</v>
      </c>
      <c r="X5" s="45">
        <v>37</v>
      </c>
      <c r="Y5" s="46">
        <v>40</v>
      </c>
      <c r="Z5" s="39">
        <v>41</v>
      </c>
      <c r="AA5" s="40">
        <v>44</v>
      </c>
      <c r="AB5" s="40">
        <v>42</v>
      </c>
      <c r="AC5" s="47">
        <v>43</v>
      </c>
      <c r="AD5" s="44">
        <v>46</v>
      </c>
      <c r="AE5" s="45">
        <v>45</v>
      </c>
      <c r="AF5" s="45">
        <v>48</v>
      </c>
      <c r="AG5" s="46">
        <v>47</v>
      </c>
      <c r="AH5" s="44">
        <v>52</v>
      </c>
      <c r="AI5" s="45">
        <v>50</v>
      </c>
      <c r="AJ5" s="45">
        <v>51</v>
      </c>
      <c r="AK5" s="46">
        <v>49</v>
      </c>
      <c r="AL5" s="39">
        <v>55</v>
      </c>
      <c r="AM5" s="40">
        <v>53</v>
      </c>
      <c r="AN5" s="40">
        <v>56</v>
      </c>
      <c r="AO5" s="48">
        <v>54</v>
      </c>
      <c r="AP5" s="39">
        <v>58</v>
      </c>
      <c r="AQ5" s="40">
        <v>57</v>
      </c>
      <c r="AR5" s="40">
        <v>59</v>
      </c>
      <c r="AS5" s="47">
        <v>60</v>
      </c>
      <c r="AT5" s="39">
        <v>64</v>
      </c>
      <c r="AU5" s="40">
        <v>63</v>
      </c>
      <c r="AV5" s="40">
        <v>61</v>
      </c>
      <c r="AW5" s="47">
        <v>62</v>
      </c>
    </row>
    <row r="6" spans="1:49" ht="15" x14ac:dyDescent="0.2">
      <c r="B6" s="39" t="str">
        <f>A10</f>
        <v>Leading</v>
      </c>
      <c r="C6" s="40" t="str">
        <f>A10</f>
        <v>Leading</v>
      </c>
      <c r="D6" s="40" t="str">
        <f>A10</f>
        <v>Leading</v>
      </c>
      <c r="E6" s="41" t="str">
        <f>A10</f>
        <v>Leading</v>
      </c>
      <c r="F6" s="42" t="str">
        <f t="shared" ref="F6:I6" si="0">$A$11</f>
        <v>Trust</v>
      </c>
      <c r="G6" s="43" t="str">
        <f t="shared" si="0"/>
        <v>Trust</v>
      </c>
      <c r="H6" s="43" t="str">
        <f t="shared" si="0"/>
        <v>Trust</v>
      </c>
      <c r="I6" s="41" t="str">
        <f t="shared" si="0"/>
        <v>Trust</v>
      </c>
      <c r="J6" s="49" t="str">
        <f t="shared" ref="J6:M6" si="1">$A$12</f>
        <v>Constraints</v>
      </c>
      <c r="K6" s="50" t="str">
        <f t="shared" si="1"/>
        <v>Constraints</v>
      </c>
      <c r="L6" s="50" t="str">
        <f t="shared" si="1"/>
        <v>Constraints</v>
      </c>
      <c r="M6" s="51" t="str">
        <f t="shared" si="1"/>
        <v>Constraints</v>
      </c>
      <c r="N6" s="49" t="str">
        <f>A13</f>
        <v>Inspiration</v>
      </c>
      <c r="O6" s="50" t="str">
        <f>A13</f>
        <v>Inspiration</v>
      </c>
      <c r="P6" s="50" t="str">
        <f>A13</f>
        <v>Inspiration</v>
      </c>
      <c r="Q6" s="51" t="str">
        <f>A13</f>
        <v>Inspiration</v>
      </c>
      <c r="R6" s="44" t="str">
        <f>A14</f>
        <v>Managing Challenges</v>
      </c>
      <c r="S6" s="44" t="str">
        <f>A14</f>
        <v>Managing Challenges</v>
      </c>
      <c r="T6" s="44" t="str">
        <f>A14</f>
        <v>Managing Challenges</v>
      </c>
      <c r="U6" s="44" t="str">
        <f>A14</f>
        <v>Managing Challenges</v>
      </c>
      <c r="V6" s="49" t="str">
        <f>A15</f>
        <v>Others View Me</v>
      </c>
      <c r="W6" s="50" t="str">
        <f>A15</f>
        <v>Others View Me</v>
      </c>
      <c r="X6" s="50" t="str">
        <f>A15</f>
        <v>Others View Me</v>
      </c>
      <c r="Y6" s="51" t="str">
        <f>A15</f>
        <v>Others View Me</v>
      </c>
      <c r="Z6" s="39" t="str">
        <f>A16</f>
        <v>Striving</v>
      </c>
      <c r="AA6" s="40" t="str">
        <f>A16</f>
        <v>Striving</v>
      </c>
      <c r="AB6" s="40" t="str">
        <f>A16</f>
        <v>Striving</v>
      </c>
      <c r="AC6" s="47" t="str">
        <f>A16</f>
        <v>Striving</v>
      </c>
      <c r="AD6" s="44" t="str">
        <f>A17</f>
        <v>Working With Peers</v>
      </c>
      <c r="AE6" s="45" t="str">
        <f>A17</f>
        <v>Working With Peers</v>
      </c>
      <c r="AF6" s="45" t="str">
        <f>A17</f>
        <v>Working With Peers</v>
      </c>
      <c r="AG6" s="46" t="str">
        <f>A17</f>
        <v>Working With Peers</v>
      </c>
      <c r="AH6" s="49" t="str">
        <f>A18</f>
        <v>At Your Worst</v>
      </c>
      <c r="AI6" s="50" t="str">
        <f>A18</f>
        <v>At Your Worst</v>
      </c>
      <c r="AJ6" s="50" t="str">
        <f>A18</f>
        <v>At Your Worst</v>
      </c>
      <c r="AK6" s="51" t="str">
        <f>A18</f>
        <v>At Your Worst</v>
      </c>
      <c r="AL6" s="39" t="str">
        <f>A19</f>
        <v>Confidence</v>
      </c>
      <c r="AM6" s="40" t="str">
        <f>A19</f>
        <v>Confidence</v>
      </c>
      <c r="AN6" s="40" t="str">
        <f>A19</f>
        <v>Confidence</v>
      </c>
      <c r="AO6" s="48" t="str">
        <f>A19</f>
        <v>Confidence</v>
      </c>
      <c r="AP6" s="39" t="str">
        <f>A20</f>
        <v>Power</v>
      </c>
      <c r="AQ6" s="40" t="str">
        <f>A20</f>
        <v>Power</v>
      </c>
      <c r="AR6" s="40" t="str">
        <f>A20</f>
        <v>Power</v>
      </c>
      <c r="AS6" s="47" t="str">
        <f>A20</f>
        <v>Power</v>
      </c>
      <c r="AT6" s="39" t="str">
        <f>A21</f>
        <v>Ambition</v>
      </c>
      <c r="AU6" s="40" t="str">
        <f>A21</f>
        <v>Ambition</v>
      </c>
      <c r="AV6" s="40" t="str">
        <f>A21</f>
        <v>Ambition</v>
      </c>
      <c r="AW6" s="47" t="str">
        <f>A21</f>
        <v>Ambition</v>
      </c>
    </row>
    <row r="7" spans="1:49" ht="15" x14ac:dyDescent="0.2">
      <c r="B7" s="52" t="str">
        <f>A24</f>
        <v>Sovereign</v>
      </c>
      <c r="C7" s="53" t="str">
        <f>A25</f>
        <v>Empress</v>
      </c>
      <c r="D7" s="53" t="str">
        <f>A26</f>
        <v>Consort</v>
      </c>
      <c r="E7" s="54" t="str">
        <f>A27</f>
        <v>Seductress</v>
      </c>
      <c r="F7" s="55" t="str">
        <f>A24</f>
        <v>Sovereign</v>
      </c>
      <c r="G7" s="56" t="str">
        <f>A25</f>
        <v>Empress</v>
      </c>
      <c r="H7" s="56" t="str">
        <f>A26</f>
        <v>Consort</v>
      </c>
      <c r="I7" s="54" t="str">
        <f>A27</f>
        <v>Seductress</v>
      </c>
      <c r="J7" s="52" t="str">
        <f>A24</f>
        <v>Sovereign</v>
      </c>
      <c r="K7" s="53" t="str">
        <f>A25</f>
        <v>Empress</v>
      </c>
      <c r="L7" s="57" t="str">
        <f>A26</f>
        <v>Consort</v>
      </c>
      <c r="M7" s="58" t="str">
        <f>A27</f>
        <v>Seductress</v>
      </c>
      <c r="N7" s="52" t="str">
        <f>A24</f>
        <v>Sovereign</v>
      </c>
      <c r="O7" s="53" t="str">
        <f>A25</f>
        <v>Empress</v>
      </c>
      <c r="P7" s="53" t="str">
        <f>A26</f>
        <v>Consort</v>
      </c>
      <c r="Q7" s="58" t="str">
        <f>A27</f>
        <v>Seductress</v>
      </c>
      <c r="R7" s="52" t="str">
        <f>A24</f>
        <v>Sovereign</v>
      </c>
      <c r="S7" s="53" t="str">
        <f>A25</f>
        <v>Empress</v>
      </c>
      <c r="T7" s="53" t="str">
        <f>A26</f>
        <v>Consort</v>
      </c>
      <c r="U7" s="58" t="str">
        <f>A27</f>
        <v>Seductress</v>
      </c>
      <c r="V7" s="52" t="str">
        <f>A24</f>
        <v>Sovereign</v>
      </c>
      <c r="W7" s="53" t="str">
        <f>A25</f>
        <v>Empress</v>
      </c>
      <c r="X7" s="53" t="str">
        <f>A26</f>
        <v>Consort</v>
      </c>
      <c r="Y7" s="58" t="str">
        <f>A27</f>
        <v>Seductress</v>
      </c>
      <c r="Z7" s="52" t="str">
        <f>A24</f>
        <v>Sovereign</v>
      </c>
      <c r="AA7" s="53" t="str">
        <f>A25</f>
        <v>Empress</v>
      </c>
      <c r="AB7" s="53" t="str">
        <f>A26</f>
        <v>Consort</v>
      </c>
      <c r="AC7" s="58" t="str">
        <f>A27</f>
        <v>Seductress</v>
      </c>
      <c r="AD7" s="52" t="str">
        <f>A24</f>
        <v>Sovereign</v>
      </c>
      <c r="AE7" s="53" t="str">
        <f>A25</f>
        <v>Empress</v>
      </c>
      <c r="AF7" s="53" t="str">
        <f>A26</f>
        <v>Consort</v>
      </c>
      <c r="AG7" s="58" t="str">
        <f>A27</f>
        <v>Seductress</v>
      </c>
      <c r="AH7" s="52" t="str">
        <f>A24</f>
        <v>Sovereign</v>
      </c>
      <c r="AI7" s="53" t="str">
        <f>A25</f>
        <v>Empress</v>
      </c>
      <c r="AJ7" s="53" t="str">
        <f>A26</f>
        <v>Consort</v>
      </c>
      <c r="AK7" s="58" t="str">
        <f>A27</f>
        <v>Seductress</v>
      </c>
      <c r="AL7" s="52" t="str">
        <f>A24</f>
        <v>Sovereign</v>
      </c>
      <c r="AM7" s="53" t="str">
        <f>A25</f>
        <v>Empress</v>
      </c>
      <c r="AN7" s="53" t="str">
        <f>A26</f>
        <v>Consort</v>
      </c>
      <c r="AO7" s="59" t="str">
        <f>A27</f>
        <v>Seductress</v>
      </c>
      <c r="AP7" s="52" t="str">
        <f>A24</f>
        <v>Sovereign</v>
      </c>
      <c r="AQ7" s="53" t="str">
        <f>A25</f>
        <v>Empress</v>
      </c>
      <c r="AR7" s="53" t="str">
        <f>A26</f>
        <v>Consort</v>
      </c>
      <c r="AS7" s="58" t="str">
        <f>A27</f>
        <v>Seductress</v>
      </c>
      <c r="AT7" s="52" t="str">
        <f>A24</f>
        <v>Sovereign</v>
      </c>
      <c r="AU7" s="53" t="str">
        <f>A25</f>
        <v>Empress</v>
      </c>
      <c r="AV7" s="53" t="str">
        <f>A26</f>
        <v>Consort</v>
      </c>
      <c r="AW7" s="58" t="str">
        <f>A27</f>
        <v>Seductress</v>
      </c>
    </row>
    <row r="8" spans="1:49" ht="13" x14ac:dyDescent="0.15">
      <c r="B8" s="2" t="s">
        <v>199</v>
      </c>
      <c r="C8" s="2" t="s">
        <v>199</v>
      </c>
      <c r="D8" s="2" t="s">
        <v>199</v>
      </c>
      <c r="E8" s="2" t="s">
        <v>199</v>
      </c>
      <c r="F8" s="2" t="s">
        <v>199</v>
      </c>
      <c r="G8" s="2" t="s">
        <v>199</v>
      </c>
      <c r="H8" s="2" t="s">
        <v>199</v>
      </c>
      <c r="I8" s="2" t="s">
        <v>199</v>
      </c>
      <c r="J8" s="2" t="s">
        <v>199</v>
      </c>
      <c r="K8" s="2" t="s">
        <v>199</v>
      </c>
      <c r="L8" s="2" t="s">
        <v>199</v>
      </c>
      <c r="M8" s="2" t="s">
        <v>199</v>
      </c>
      <c r="N8" s="2" t="s">
        <v>199</v>
      </c>
      <c r="O8" s="2" t="s">
        <v>199</v>
      </c>
      <c r="P8" s="2" t="s">
        <v>199</v>
      </c>
      <c r="Q8" s="2" t="s">
        <v>199</v>
      </c>
      <c r="R8" s="2" t="s">
        <v>199</v>
      </c>
      <c r="S8" s="2" t="s">
        <v>199</v>
      </c>
      <c r="T8" s="2" t="s">
        <v>199</v>
      </c>
      <c r="U8" s="2" t="s">
        <v>199</v>
      </c>
      <c r="V8" s="2" t="s">
        <v>199</v>
      </c>
      <c r="W8" s="2" t="s">
        <v>199</v>
      </c>
      <c r="X8" s="2" t="s">
        <v>199</v>
      </c>
      <c r="Y8" s="2" t="s">
        <v>199</v>
      </c>
      <c r="Z8" s="2" t="s">
        <v>199</v>
      </c>
      <c r="AA8" s="2" t="s">
        <v>199</v>
      </c>
      <c r="AB8" s="2" t="s">
        <v>199</v>
      </c>
      <c r="AC8" s="2" t="s">
        <v>199</v>
      </c>
      <c r="AD8" s="2" t="s">
        <v>199</v>
      </c>
      <c r="AE8" s="2" t="s">
        <v>199</v>
      </c>
      <c r="AF8" s="2" t="s">
        <v>199</v>
      </c>
      <c r="AG8" s="2" t="s">
        <v>199</v>
      </c>
      <c r="AH8" s="2" t="s">
        <v>199</v>
      </c>
      <c r="AI8" s="2" t="s">
        <v>199</v>
      </c>
      <c r="AJ8" s="2" t="s">
        <v>199</v>
      </c>
      <c r="AK8" s="2" t="s">
        <v>199</v>
      </c>
      <c r="AL8" s="2" t="s">
        <v>199</v>
      </c>
      <c r="AM8" s="2" t="s">
        <v>199</v>
      </c>
      <c r="AN8" s="2" t="s">
        <v>199</v>
      </c>
      <c r="AO8" s="2" t="s">
        <v>199</v>
      </c>
      <c r="AP8" s="2"/>
      <c r="AQ8" s="2"/>
      <c r="AR8" s="2"/>
      <c r="AS8" s="2"/>
      <c r="AT8" s="2"/>
      <c r="AU8" s="2"/>
      <c r="AV8" s="2"/>
      <c r="AW8" s="2"/>
    </row>
    <row r="9" spans="1:49" ht="16" x14ac:dyDescent="0.2">
      <c r="A9" s="60" t="s">
        <v>200</v>
      </c>
      <c r="E9" s="61"/>
      <c r="F9" s="61"/>
      <c r="G9" s="61"/>
      <c r="H9" s="61"/>
      <c r="I9" s="61"/>
    </row>
    <row r="10" spans="1:49" ht="14" x14ac:dyDescent="0.15">
      <c r="A10" s="62" t="s">
        <v>201</v>
      </c>
      <c r="B10" s="2" t="s">
        <v>202</v>
      </c>
      <c r="E10" s="61"/>
      <c r="F10" s="61"/>
      <c r="G10" s="61"/>
      <c r="H10" s="61"/>
      <c r="I10" s="61"/>
    </row>
    <row r="11" spans="1:49" ht="14" x14ac:dyDescent="0.15">
      <c r="A11" s="62" t="s">
        <v>203</v>
      </c>
      <c r="B11" s="2" t="s">
        <v>202</v>
      </c>
      <c r="E11" s="61"/>
      <c r="F11" s="61"/>
      <c r="G11" s="61"/>
      <c r="H11" s="61"/>
      <c r="I11" s="61"/>
    </row>
    <row r="12" spans="1:49" ht="14" x14ac:dyDescent="0.15">
      <c r="A12" s="62" t="s">
        <v>204</v>
      </c>
      <c r="B12" s="2" t="s">
        <v>205</v>
      </c>
      <c r="E12" s="61"/>
      <c r="F12" s="61"/>
      <c r="G12" s="61"/>
      <c r="H12" s="61"/>
      <c r="I12" s="61"/>
    </row>
    <row r="13" spans="1:49" ht="14" x14ac:dyDescent="0.15">
      <c r="A13" s="62" t="s">
        <v>206</v>
      </c>
      <c r="B13" s="2" t="s">
        <v>202</v>
      </c>
      <c r="E13" s="61"/>
      <c r="F13" s="61"/>
      <c r="G13" s="61"/>
      <c r="H13" s="61"/>
      <c r="I13" s="61"/>
    </row>
    <row r="14" spans="1:49" ht="15" x14ac:dyDescent="0.2">
      <c r="A14" s="62" t="s">
        <v>207</v>
      </c>
      <c r="B14" s="2" t="s">
        <v>202</v>
      </c>
      <c r="C14" s="63"/>
      <c r="D14" s="63"/>
      <c r="E14" s="61"/>
      <c r="F14" s="61"/>
      <c r="G14" s="61"/>
      <c r="H14" s="61"/>
      <c r="I14" s="61"/>
      <c r="J14" s="63"/>
      <c r="K14" s="63"/>
      <c r="L14" s="63"/>
      <c r="M14" s="63"/>
    </row>
    <row r="15" spans="1:49" ht="15" x14ac:dyDescent="0.2">
      <c r="A15" s="62" t="s">
        <v>208</v>
      </c>
      <c r="B15" s="2" t="s">
        <v>202</v>
      </c>
      <c r="C15" s="64"/>
      <c r="D15" s="64"/>
      <c r="E15" s="61"/>
      <c r="F15" s="61"/>
      <c r="G15" s="61"/>
      <c r="H15" s="61"/>
      <c r="I15" s="61"/>
      <c r="J15" s="64"/>
      <c r="K15" s="64"/>
      <c r="L15" s="64"/>
      <c r="M15" s="64"/>
    </row>
    <row r="16" spans="1:49" ht="15" x14ac:dyDescent="0.2">
      <c r="A16" s="62" t="s">
        <v>209</v>
      </c>
      <c r="B16" s="2" t="s">
        <v>202</v>
      </c>
      <c r="C16" s="64"/>
      <c r="D16" s="64"/>
      <c r="E16" s="61"/>
      <c r="F16" s="61"/>
      <c r="G16" s="61"/>
      <c r="H16" s="61"/>
      <c r="I16" s="61"/>
      <c r="J16" s="64"/>
      <c r="K16" s="64"/>
      <c r="L16" s="64"/>
      <c r="M16" s="64"/>
    </row>
    <row r="17" spans="1:13" ht="15" x14ac:dyDescent="0.2">
      <c r="A17" s="62" t="s">
        <v>210</v>
      </c>
      <c r="B17" s="2" t="s">
        <v>202</v>
      </c>
      <c r="C17" s="64"/>
      <c r="D17" s="64"/>
      <c r="E17" s="61"/>
      <c r="F17" s="61"/>
      <c r="G17" s="61"/>
      <c r="H17" s="61"/>
      <c r="I17" s="61"/>
      <c r="J17" s="64"/>
      <c r="K17" s="64"/>
      <c r="L17" s="64"/>
      <c r="M17" s="64"/>
    </row>
    <row r="18" spans="1:13" ht="15" x14ac:dyDescent="0.2">
      <c r="A18" s="62" t="s">
        <v>211</v>
      </c>
      <c r="B18" s="2" t="s">
        <v>205</v>
      </c>
      <c r="C18" s="64"/>
      <c r="D18" s="64"/>
      <c r="E18" s="61"/>
      <c r="F18" s="61"/>
      <c r="G18" s="61"/>
      <c r="H18" s="61"/>
      <c r="I18" s="61"/>
      <c r="J18" s="64"/>
      <c r="K18" s="64"/>
      <c r="L18" s="64"/>
      <c r="M18" s="64"/>
    </row>
    <row r="19" spans="1:13" ht="14" x14ac:dyDescent="0.15">
      <c r="A19" s="62" t="s">
        <v>212</v>
      </c>
      <c r="B19" s="2" t="s">
        <v>202</v>
      </c>
      <c r="E19" s="61"/>
      <c r="F19" s="61"/>
      <c r="G19" s="61"/>
      <c r="H19" s="61"/>
      <c r="I19" s="61"/>
    </row>
    <row r="20" spans="1:13" ht="14" x14ac:dyDescent="0.15">
      <c r="A20" s="62" t="s">
        <v>213</v>
      </c>
      <c r="B20" s="2" t="s">
        <v>202</v>
      </c>
      <c r="E20" s="61"/>
      <c r="F20" s="61"/>
      <c r="G20" s="61"/>
      <c r="H20" s="61"/>
      <c r="I20" s="61"/>
    </row>
    <row r="21" spans="1:13" ht="14" x14ac:dyDescent="0.15">
      <c r="A21" s="62" t="s">
        <v>214</v>
      </c>
      <c r="B21" s="2" t="s">
        <v>202</v>
      </c>
      <c r="E21" s="61"/>
      <c r="F21" s="61"/>
      <c r="G21" s="61"/>
      <c r="H21" s="61"/>
      <c r="I21" s="61"/>
    </row>
    <row r="22" spans="1:13" ht="13" x14ac:dyDescent="0.15">
      <c r="E22" s="61"/>
      <c r="F22" s="61"/>
      <c r="G22" s="61"/>
      <c r="H22" s="61"/>
      <c r="I22" s="61"/>
    </row>
    <row r="23" spans="1:13" ht="16" x14ac:dyDescent="0.2">
      <c r="A23" s="60" t="s">
        <v>215</v>
      </c>
      <c r="E23" s="61"/>
      <c r="F23" s="61"/>
      <c r="G23" s="61"/>
      <c r="H23" s="61"/>
      <c r="I23" s="61"/>
    </row>
    <row r="24" spans="1:13" ht="15" x14ac:dyDescent="0.2">
      <c r="A24" s="65" t="s">
        <v>133</v>
      </c>
      <c r="E24" s="61"/>
      <c r="F24" s="61"/>
      <c r="G24" s="61"/>
      <c r="H24" s="61"/>
      <c r="I24" s="61"/>
    </row>
    <row r="25" spans="1:13" ht="15" x14ac:dyDescent="0.2">
      <c r="A25" s="66" t="s">
        <v>134</v>
      </c>
      <c r="E25" s="61"/>
      <c r="F25" s="61"/>
      <c r="G25" s="61"/>
      <c r="H25" s="61"/>
      <c r="I25" s="61"/>
    </row>
    <row r="26" spans="1:13" ht="14" x14ac:dyDescent="0.15">
      <c r="A26" s="67" t="s">
        <v>135</v>
      </c>
      <c r="E26" s="61"/>
      <c r="F26" s="61"/>
      <c r="G26" s="61"/>
      <c r="H26" s="61"/>
      <c r="I26" s="61"/>
    </row>
    <row r="27" spans="1:13" ht="15" x14ac:dyDescent="0.2">
      <c r="A27" s="68" t="s">
        <v>136</v>
      </c>
      <c r="E27" s="61"/>
      <c r="F27" s="61"/>
      <c r="G27" s="61"/>
      <c r="H27" s="61"/>
      <c r="I27" s="61"/>
    </row>
    <row r="28" spans="1:13" ht="13" x14ac:dyDescent="0.15">
      <c r="E28" s="61"/>
      <c r="F28" s="61"/>
      <c r="G28" s="61"/>
      <c r="H28" s="61"/>
      <c r="I28" s="61"/>
    </row>
    <row r="29" spans="1:13" ht="13" x14ac:dyDescent="0.15">
      <c r="E29" s="61"/>
      <c r="F29" s="61"/>
      <c r="G29" s="61"/>
      <c r="H29" s="61"/>
      <c r="I29" s="61"/>
    </row>
    <row r="30" spans="1:13" ht="13" x14ac:dyDescent="0.15">
      <c r="E30" s="61"/>
      <c r="F30" s="61"/>
      <c r="G30" s="61"/>
      <c r="H30" s="61"/>
      <c r="I30" s="61"/>
    </row>
    <row r="31" spans="1:13" ht="13" x14ac:dyDescent="0.15">
      <c r="E31" s="61"/>
      <c r="F31" s="61"/>
      <c r="G31" s="61"/>
      <c r="H31" s="61"/>
      <c r="I31" s="61"/>
    </row>
    <row r="32" spans="1:13" ht="13" x14ac:dyDescent="0.15">
      <c r="E32" s="61"/>
      <c r="F32" s="61"/>
      <c r="G32" s="61"/>
      <c r="H32" s="61"/>
      <c r="I32" s="61"/>
    </row>
    <row r="33" spans="5:9" ht="13" x14ac:dyDescent="0.15">
      <c r="E33" s="61"/>
      <c r="F33" s="61"/>
      <c r="G33" s="61"/>
      <c r="H33" s="61"/>
      <c r="I33" s="61"/>
    </row>
    <row r="34" spans="5:9" ht="13" x14ac:dyDescent="0.15">
      <c r="E34" s="61"/>
      <c r="F34" s="61"/>
      <c r="G34" s="61"/>
      <c r="H34" s="61"/>
      <c r="I34" s="61"/>
    </row>
    <row r="35" spans="5:9" ht="13" x14ac:dyDescent="0.15">
      <c r="E35" s="61"/>
      <c r="F35" s="61"/>
      <c r="G35" s="61"/>
      <c r="H35" s="61"/>
      <c r="I35" s="61"/>
    </row>
    <row r="36" spans="5:9" ht="13" x14ac:dyDescent="0.15">
      <c r="E36" s="61"/>
      <c r="F36" s="61"/>
      <c r="G36" s="61"/>
      <c r="H36" s="61"/>
      <c r="I36" s="61"/>
    </row>
    <row r="37" spans="5:9" ht="13" x14ac:dyDescent="0.15">
      <c r="E37" s="61"/>
      <c r="F37" s="61"/>
      <c r="G37" s="61"/>
      <c r="H37" s="61"/>
      <c r="I37" s="61"/>
    </row>
    <row r="38" spans="5:9" ht="13" x14ac:dyDescent="0.15">
      <c r="E38" s="61"/>
      <c r="F38" s="61"/>
      <c r="G38" s="61"/>
      <c r="H38" s="61"/>
      <c r="I38" s="61"/>
    </row>
    <row r="39" spans="5:9" ht="13" x14ac:dyDescent="0.15">
      <c r="E39" s="61"/>
      <c r="F39" s="61"/>
      <c r="G39" s="61"/>
      <c r="H39" s="61"/>
      <c r="I39" s="61"/>
    </row>
    <row r="40" spans="5:9" ht="13" x14ac:dyDescent="0.15">
      <c r="E40" s="61"/>
      <c r="F40" s="61"/>
      <c r="G40" s="61"/>
      <c r="H40" s="61"/>
      <c r="I40" s="61"/>
    </row>
    <row r="41" spans="5:9" ht="13" x14ac:dyDescent="0.15">
      <c r="E41" s="61"/>
      <c r="F41" s="61"/>
      <c r="G41" s="61"/>
      <c r="H41" s="61"/>
      <c r="I41" s="61"/>
    </row>
    <row r="42" spans="5:9" ht="13" x14ac:dyDescent="0.15">
      <c r="E42" s="61"/>
      <c r="F42" s="61"/>
      <c r="G42" s="61"/>
      <c r="H42" s="61"/>
      <c r="I42" s="61"/>
    </row>
    <row r="43" spans="5:9" ht="13" x14ac:dyDescent="0.15">
      <c r="E43" s="61"/>
      <c r="F43" s="61"/>
      <c r="G43" s="61"/>
      <c r="H43" s="61"/>
      <c r="I43" s="61"/>
    </row>
    <row r="44" spans="5:9" ht="13" x14ac:dyDescent="0.15">
      <c r="E44" s="61"/>
      <c r="F44" s="61"/>
      <c r="G44" s="61"/>
      <c r="H44" s="61"/>
      <c r="I44" s="61"/>
    </row>
    <row r="45" spans="5:9" ht="13" x14ac:dyDescent="0.15">
      <c r="E45" s="61"/>
      <c r="F45" s="61"/>
      <c r="G45" s="61"/>
      <c r="H45" s="61"/>
      <c r="I45" s="61"/>
    </row>
    <row r="46" spans="5:9" ht="13" x14ac:dyDescent="0.15">
      <c r="E46" s="61"/>
      <c r="F46" s="61"/>
      <c r="G46" s="61"/>
      <c r="H46" s="61"/>
      <c r="I46" s="61"/>
    </row>
    <row r="47" spans="5:9" ht="13" x14ac:dyDescent="0.15">
      <c r="E47" s="61"/>
      <c r="F47" s="61"/>
      <c r="G47" s="61"/>
      <c r="H47" s="61"/>
      <c r="I47" s="61"/>
    </row>
    <row r="48" spans="5:9" ht="13" x14ac:dyDescent="0.15">
      <c r="E48" s="61"/>
      <c r="F48" s="61"/>
      <c r="G48" s="61"/>
      <c r="H48" s="61"/>
      <c r="I48" s="61"/>
    </row>
    <row r="49" spans="5:9" ht="13" x14ac:dyDescent="0.15">
      <c r="E49" s="61"/>
      <c r="F49" s="61"/>
      <c r="G49" s="61"/>
      <c r="H49" s="61"/>
      <c r="I49" s="61"/>
    </row>
    <row r="50" spans="5:9" ht="13" x14ac:dyDescent="0.15">
      <c r="E50" s="61"/>
      <c r="F50" s="61"/>
      <c r="G50" s="61"/>
      <c r="H50" s="61"/>
      <c r="I50" s="61"/>
    </row>
    <row r="51" spans="5:9" ht="13" x14ac:dyDescent="0.15">
      <c r="E51" s="61"/>
      <c r="F51" s="61"/>
      <c r="G51" s="61"/>
      <c r="H51" s="61"/>
      <c r="I51" s="61"/>
    </row>
    <row r="52" spans="5:9" ht="13" x14ac:dyDescent="0.15">
      <c r="E52" s="61"/>
      <c r="F52" s="61"/>
      <c r="G52" s="61"/>
      <c r="H52" s="61"/>
      <c r="I52" s="61"/>
    </row>
    <row r="53" spans="5:9" ht="13" x14ac:dyDescent="0.15">
      <c r="E53" s="61"/>
      <c r="F53" s="61"/>
      <c r="G53" s="61"/>
      <c r="H53" s="61"/>
      <c r="I53" s="61"/>
    </row>
    <row r="54" spans="5:9" ht="13" x14ac:dyDescent="0.15">
      <c r="E54" s="61"/>
      <c r="F54" s="61"/>
      <c r="G54" s="61"/>
      <c r="H54" s="61"/>
      <c r="I54" s="61"/>
    </row>
    <row r="55" spans="5:9" ht="13" x14ac:dyDescent="0.15">
      <c r="E55" s="61"/>
      <c r="F55" s="61"/>
      <c r="G55" s="61"/>
      <c r="H55" s="61"/>
      <c r="I55" s="61"/>
    </row>
    <row r="56" spans="5:9" ht="13" x14ac:dyDescent="0.15">
      <c r="E56" s="61"/>
      <c r="F56" s="61"/>
      <c r="G56" s="61"/>
      <c r="H56" s="61"/>
      <c r="I56" s="61"/>
    </row>
    <row r="57" spans="5:9" ht="13" x14ac:dyDescent="0.15">
      <c r="E57" s="61"/>
      <c r="F57" s="61"/>
      <c r="G57" s="61"/>
      <c r="H57" s="61"/>
      <c r="I57" s="61"/>
    </row>
    <row r="58" spans="5:9" ht="13" x14ac:dyDescent="0.15">
      <c r="E58" s="61"/>
      <c r="F58" s="61"/>
      <c r="G58" s="61"/>
      <c r="H58" s="61"/>
      <c r="I58" s="61"/>
    </row>
    <row r="59" spans="5:9" ht="13" x14ac:dyDescent="0.15">
      <c r="E59" s="61"/>
      <c r="F59" s="61"/>
      <c r="G59" s="61"/>
      <c r="H59" s="61"/>
      <c r="I59" s="61"/>
    </row>
    <row r="60" spans="5:9" ht="13" x14ac:dyDescent="0.15">
      <c r="E60" s="61"/>
      <c r="F60" s="61"/>
      <c r="G60" s="61"/>
      <c r="H60" s="61"/>
      <c r="I60" s="61"/>
    </row>
    <row r="61" spans="5:9" ht="13" x14ac:dyDescent="0.15">
      <c r="E61" s="61"/>
      <c r="F61" s="61"/>
      <c r="G61" s="61"/>
      <c r="H61" s="61"/>
      <c r="I61" s="61"/>
    </row>
    <row r="62" spans="5:9" ht="13" x14ac:dyDescent="0.15">
      <c r="E62" s="61"/>
      <c r="F62" s="61"/>
      <c r="G62" s="61"/>
      <c r="H62" s="61"/>
      <c r="I62" s="61"/>
    </row>
    <row r="63" spans="5:9" ht="13" x14ac:dyDescent="0.15">
      <c r="E63" s="61"/>
      <c r="F63" s="61"/>
      <c r="G63" s="61"/>
      <c r="H63" s="61"/>
      <c r="I63" s="61"/>
    </row>
    <row r="64" spans="5:9" ht="13" x14ac:dyDescent="0.15">
      <c r="E64" s="61"/>
      <c r="F64" s="61"/>
      <c r="G64" s="61"/>
      <c r="H64" s="61"/>
      <c r="I64" s="61"/>
    </row>
    <row r="65" spans="5:9" ht="13" x14ac:dyDescent="0.15">
      <c r="E65" s="61"/>
      <c r="F65" s="61"/>
      <c r="G65" s="61"/>
      <c r="H65" s="61"/>
      <c r="I65" s="61"/>
    </row>
    <row r="66" spans="5:9" ht="13" x14ac:dyDescent="0.15">
      <c r="E66" s="61"/>
      <c r="F66" s="61"/>
      <c r="G66" s="61"/>
      <c r="H66" s="61"/>
      <c r="I66" s="61"/>
    </row>
    <row r="67" spans="5:9" ht="13" x14ac:dyDescent="0.15">
      <c r="E67" s="61"/>
      <c r="F67" s="61"/>
      <c r="G67" s="61"/>
      <c r="H67" s="61"/>
      <c r="I67" s="61"/>
    </row>
    <row r="68" spans="5:9" ht="13" x14ac:dyDescent="0.15">
      <c r="E68" s="61"/>
      <c r="F68" s="61"/>
      <c r="G68" s="61"/>
      <c r="H68" s="61"/>
      <c r="I68" s="61"/>
    </row>
    <row r="69" spans="5:9" ht="13" x14ac:dyDescent="0.15">
      <c r="E69" s="61"/>
      <c r="F69" s="61"/>
      <c r="G69" s="61"/>
      <c r="H69" s="61"/>
      <c r="I69" s="61"/>
    </row>
    <row r="70" spans="5:9" ht="13" x14ac:dyDescent="0.15">
      <c r="E70" s="61"/>
      <c r="F70" s="61"/>
      <c r="G70" s="61"/>
      <c r="H70" s="61"/>
      <c r="I70" s="61"/>
    </row>
    <row r="71" spans="5:9" ht="13" x14ac:dyDescent="0.15">
      <c r="E71" s="61"/>
      <c r="F71" s="61"/>
      <c r="G71" s="61"/>
      <c r="H71" s="61"/>
      <c r="I71" s="61"/>
    </row>
    <row r="72" spans="5:9" ht="13" x14ac:dyDescent="0.15">
      <c r="E72" s="61"/>
      <c r="F72" s="61"/>
      <c r="G72" s="61"/>
      <c r="H72" s="61"/>
      <c r="I72" s="61"/>
    </row>
    <row r="73" spans="5:9" ht="13" x14ac:dyDescent="0.15">
      <c r="E73" s="61"/>
      <c r="F73" s="61"/>
      <c r="G73" s="61"/>
      <c r="H73" s="61"/>
      <c r="I73" s="61"/>
    </row>
    <row r="74" spans="5:9" ht="13" x14ac:dyDescent="0.15">
      <c r="E74" s="61"/>
      <c r="F74" s="61"/>
      <c r="G74" s="61"/>
      <c r="H74" s="61"/>
      <c r="I74" s="61"/>
    </row>
    <row r="75" spans="5:9" ht="13" x14ac:dyDescent="0.15">
      <c r="E75" s="61"/>
      <c r="F75" s="61"/>
      <c r="G75" s="61"/>
      <c r="H75" s="61"/>
      <c r="I75" s="61"/>
    </row>
    <row r="76" spans="5:9" ht="13" x14ac:dyDescent="0.15">
      <c r="E76" s="61"/>
      <c r="F76" s="61"/>
      <c r="G76" s="61"/>
      <c r="H76" s="61"/>
      <c r="I76" s="61"/>
    </row>
    <row r="77" spans="5:9" ht="13" x14ac:dyDescent="0.15">
      <c r="E77" s="61"/>
      <c r="F77" s="61"/>
      <c r="G77" s="61"/>
      <c r="H77" s="61"/>
      <c r="I77" s="61"/>
    </row>
    <row r="78" spans="5:9" ht="13" x14ac:dyDescent="0.15">
      <c r="E78" s="61"/>
      <c r="F78" s="61"/>
      <c r="G78" s="61"/>
      <c r="H78" s="61"/>
      <c r="I78" s="61"/>
    </row>
    <row r="79" spans="5:9" ht="13" x14ac:dyDescent="0.15">
      <c r="E79" s="61"/>
      <c r="F79" s="61"/>
      <c r="G79" s="61"/>
      <c r="H79" s="61"/>
      <c r="I79" s="61"/>
    </row>
    <row r="80" spans="5:9" ht="13" x14ac:dyDescent="0.15">
      <c r="E80" s="61"/>
      <c r="F80" s="61"/>
      <c r="G80" s="61"/>
      <c r="H80" s="61"/>
      <c r="I80" s="61"/>
    </row>
    <row r="81" spans="5:9" ht="13" x14ac:dyDescent="0.15">
      <c r="E81" s="61"/>
      <c r="F81" s="61"/>
      <c r="G81" s="61"/>
      <c r="H81" s="61"/>
      <c r="I81" s="61"/>
    </row>
    <row r="82" spans="5:9" ht="13" x14ac:dyDescent="0.15">
      <c r="E82" s="61"/>
      <c r="F82" s="61"/>
      <c r="G82" s="61"/>
      <c r="H82" s="61"/>
      <c r="I82" s="61"/>
    </row>
    <row r="83" spans="5:9" ht="13" x14ac:dyDescent="0.15">
      <c r="E83" s="61"/>
      <c r="F83" s="61"/>
      <c r="G83" s="61"/>
      <c r="H83" s="61"/>
      <c r="I83" s="61"/>
    </row>
    <row r="84" spans="5:9" ht="13" x14ac:dyDescent="0.15">
      <c r="E84" s="61"/>
      <c r="F84" s="61"/>
      <c r="G84" s="61"/>
      <c r="H84" s="61"/>
      <c r="I84" s="61"/>
    </row>
    <row r="85" spans="5:9" ht="13" x14ac:dyDescent="0.15">
      <c r="E85" s="61"/>
      <c r="F85" s="61"/>
      <c r="G85" s="61"/>
      <c r="H85" s="61"/>
      <c r="I85" s="61"/>
    </row>
    <row r="86" spans="5:9" ht="13" x14ac:dyDescent="0.15">
      <c r="E86" s="61"/>
      <c r="F86" s="61"/>
      <c r="G86" s="61"/>
      <c r="H86" s="61"/>
      <c r="I86" s="61"/>
    </row>
    <row r="87" spans="5:9" ht="13" x14ac:dyDescent="0.15">
      <c r="E87" s="61"/>
      <c r="F87" s="61"/>
      <c r="G87" s="61"/>
      <c r="H87" s="61"/>
      <c r="I87" s="61"/>
    </row>
    <row r="88" spans="5:9" ht="13" x14ac:dyDescent="0.15">
      <c r="E88" s="61"/>
      <c r="F88" s="61"/>
      <c r="G88" s="61"/>
      <c r="H88" s="61"/>
      <c r="I88" s="61"/>
    </row>
    <row r="89" spans="5:9" ht="13" x14ac:dyDescent="0.15">
      <c r="E89" s="61"/>
      <c r="F89" s="61"/>
      <c r="G89" s="61"/>
      <c r="H89" s="61"/>
      <c r="I89" s="61"/>
    </row>
    <row r="90" spans="5:9" ht="13" x14ac:dyDescent="0.15">
      <c r="E90" s="61"/>
      <c r="F90" s="61"/>
      <c r="G90" s="61"/>
      <c r="H90" s="61"/>
      <c r="I90" s="61"/>
    </row>
    <row r="91" spans="5:9" ht="13" x14ac:dyDescent="0.15">
      <c r="E91" s="61"/>
      <c r="F91" s="61"/>
      <c r="G91" s="61"/>
      <c r="H91" s="61"/>
      <c r="I91" s="61"/>
    </row>
    <row r="92" spans="5:9" ht="13" x14ac:dyDescent="0.15">
      <c r="E92" s="61"/>
      <c r="F92" s="61"/>
      <c r="G92" s="61"/>
      <c r="H92" s="61"/>
      <c r="I92" s="61"/>
    </row>
    <row r="93" spans="5:9" ht="13" x14ac:dyDescent="0.15">
      <c r="E93" s="61"/>
      <c r="F93" s="61"/>
      <c r="G93" s="61"/>
      <c r="H93" s="61"/>
      <c r="I93" s="61"/>
    </row>
    <row r="94" spans="5:9" ht="13" x14ac:dyDescent="0.15">
      <c r="E94" s="61"/>
      <c r="F94" s="61"/>
      <c r="G94" s="61"/>
      <c r="H94" s="61"/>
      <c r="I94" s="61"/>
    </row>
    <row r="95" spans="5:9" ht="13" x14ac:dyDescent="0.15">
      <c r="E95" s="61"/>
      <c r="F95" s="61"/>
      <c r="G95" s="61"/>
      <c r="H95" s="61"/>
      <c r="I95" s="61"/>
    </row>
    <row r="96" spans="5:9" ht="13" x14ac:dyDescent="0.15">
      <c r="E96" s="61"/>
      <c r="F96" s="61"/>
      <c r="G96" s="61"/>
      <c r="H96" s="61"/>
      <c r="I96" s="61"/>
    </row>
    <row r="97" spans="5:9" ht="13" x14ac:dyDescent="0.15">
      <c r="E97" s="61"/>
      <c r="F97" s="61"/>
      <c r="G97" s="61"/>
      <c r="H97" s="61"/>
      <c r="I97" s="61"/>
    </row>
    <row r="98" spans="5:9" ht="13" x14ac:dyDescent="0.15">
      <c r="E98" s="61"/>
      <c r="F98" s="61"/>
      <c r="G98" s="61"/>
      <c r="H98" s="61"/>
      <c r="I98" s="61"/>
    </row>
    <row r="99" spans="5:9" ht="13" x14ac:dyDescent="0.15">
      <c r="E99" s="61"/>
      <c r="F99" s="61"/>
      <c r="G99" s="61"/>
      <c r="H99" s="61"/>
      <c r="I99" s="61"/>
    </row>
    <row r="100" spans="5:9" ht="13" x14ac:dyDescent="0.15">
      <c r="E100" s="61"/>
      <c r="F100" s="61"/>
      <c r="G100" s="61"/>
      <c r="H100" s="61"/>
      <c r="I100" s="61"/>
    </row>
    <row r="101" spans="5:9" ht="13" x14ac:dyDescent="0.15">
      <c r="E101" s="61"/>
      <c r="F101" s="61"/>
      <c r="G101" s="61"/>
      <c r="H101" s="61"/>
      <c r="I101" s="61"/>
    </row>
    <row r="102" spans="5:9" ht="13" x14ac:dyDescent="0.15">
      <c r="E102" s="61"/>
      <c r="F102" s="61"/>
      <c r="G102" s="61"/>
      <c r="H102" s="61"/>
      <c r="I102" s="61"/>
    </row>
    <row r="103" spans="5:9" ht="13" x14ac:dyDescent="0.15">
      <c r="E103" s="61"/>
      <c r="F103" s="61"/>
      <c r="G103" s="61"/>
      <c r="H103" s="61"/>
      <c r="I103" s="61"/>
    </row>
    <row r="104" spans="5:9" ht="13" x14ac:dyDescent="0.15">
      <c r="E104" s="61"/>
      <c r="F104" s="61"/>
      <c r="G104" s="61"/>
      <c r="H104" s="61"/>
      <c r="I104" s="61"/>
    </row>
    <row r="105" spans="5:9" ht="13" x14ac:dyDescent="0.15">
      <c r="E105" s="61"/>
      <c r="F105" s="61"/>
      <c r="G105" s="61"/>
      <c r="H105" s="61"/>
      <c r="I105" s="61"/>
    </row>
    <row r="106" spans="5:9" ht="13" x14ac:dyDescent="0.15">
      <c r="E106" s="61"/>
      <c r="F106" s="61"/>
      <c r="G106" s="61"/>
      <c r="H106" s="61"/>
      <c r="I106" s="61"/>
    </row>
    <row r="107" spans="5:9" ht="13" x14ac:dyDescent="0.15">
      <c r="E107" s="61"/>
      <c r="F107" s="61"/>
      <c r="G107" s="61"/>
      <c r="H107" s="61"/>
      <c r="I107" s="61"/>
    </row>
    <row r="108" spans="5:9" ht="13" x14ac:dyDescent="0.15">
      <c r="E108" s="61"/>
      <c r="F108" s="61"/>
      <c r="G108" s="61"/>
      <c r="H108" s="61"/>
      <c r="I108" s="61"/>
    </row>
    <row r="109" spans="5:9" ht="13" x14ac:dyDescent="0.15">
      <c r="E109" s="61"/>
      <c r="F109" s="61"/>
      <c r="G109" s="61"/>
      <c r="H109" s="61"/>
      <c r="I109" s="61"/>
    </row>
    <row r="110" spans="5:9" ht="13" x14ac:dyDescent="0.15">
      <c r="E110" s="61"/>
      <c r="F110" s="61"/>
      <c r="G110" s="61"/>
      <c r="H110" s="61"/>
      <c r="I110" s="61"/>
    </row>
    <row r="111" spans="5:9" ht="13" x14ac:dyDescent="0.15">
      <c r="E111" s="61"/>
      <c r="F111" s="61"/>
      <c r="G111" s="61"/>
      <c r="H111" s="61"/>
      <c r="I111" s="61"/>
    </row>
    <row r="112" spans="5:9" ht="13" x14ac:dyDescent="0.15">
      <c r="E112" s="61"/>
      <c r="F112" s="61"/>
      <c r="G112" s="61"/>
      <c r="H112" s="61"/>
      <c r="I112" s="61"/>
    </row>
    <row r="113" spans="5:9" ht="13" x14ac:dyDescent="0.15">
      <c r="E113" s="61"/>
      <c r="F113" s="61"/>
      <c r="G113" s="61"/>
      <c r="H113" s="61"/>
      <c r="I113" s="61"/>
    </row>
    <row r="114" spans="5:9" ht="13" x14ac:dyDescent="0.15">
      <c r="E114" s="61"/>
      <c r="F114" s="61"/>
      <c r="G114" s="61"/>
      <c r="H114" s="61"/>
      <c r="I114" s="61"/>
    </row>
    <row r="115" spans="5:9" ht="13" x14ac:dyDescent="0.15">
      <c r="E115" s="61"/>
      <c r="F115" s="61"/>
      <c r="G115" s="61"/>
      <c r="H115" s="61"/>
      <c r="I115" s="61"/>
    </row>
    <row r="116" spans="5:9" ht="13" x14ac:dyDescent="0.15">
      <c r="E116" s="61"/>
      <c r="F116" s="61"/>
      <c r="G116" s="61"/>
      <c r="H116" s="61"/>
      <c r="I116" s="61"/>
    </row>
    <row r="117" spans="5:9" ht="13" x14ac:dyDescent="0.15">
      <c r="E117" s="61"/>
      <c r="F117" s="61"/>
      <c r="G117" s="61"/>
      <c r="H117" s="61"/>
      <c r="I117" s="61"/>
    </row>
    <row r="118" spans="5:9" ht="13" x14ac:dyDescent="0.15">
      <c r="E118" s="61"/>
      <c r="F118" s="61"/>
      <c r="G118" s="61"/>
      <c r="H118" s="61"/>
      <c r="I118" s="61"/>
    </row>
    <row r="119" spans="5:9" ht="13" x14ac:dyDescent="0.15">
      <c r="E119" s="61"/>
      <c r="F119" s="61"/>
      <c r="G119" s="61"/>
      <c r="H119" s="61"/>
      <c r="I119" s="61"/>
    </row>
    <row r="120" spans="5:9" ht="13" x14ac:dyDescent="0.15">
      <c r="E120" s="61"/>
      <c r="F120" s="61"/>
      <c r="G120" s="61"/>
      <c r="H120" s="61"/>
      <c r="I120" s="61"/>
    </row>
    <row r="121" spans="5:9" ht="13" x14ac:dyDescent="0.15">
      <c r="E121" s="61"/>
      <c r="F121" s="61"/>
      <c r="G121" s="61"/>
      <c r="H121" s="61"/>
      <c r="I121" s="61"/>
    </row>
    <row r="122" spans="5:9" ht="13" x14ac:dyDescent="0.15">
      <c r="E122" s="61"/>
      <c r="F122" s="61"/>
      <c r="G122" s="61"/>
      <c r="H122" s="61"/>
      <c r="I122" s="61"/>
    </row>
    <row r="123" spans="5:9" ht="13" x14ac:dyDescent="0.15">
      <c r="E123" s="61"/>
      <c r="F123" s="61"/>
      <c r="G123" s="61"/>
      <c r="H123" s="61"/>
      <c r="I123" s="61"/>
    </row>
    <row r="124" spans="5:9" ht="13" x14ac:dyDescent="0.15">
      <c r="E124" s="61"/>
      <c r="F124" s="61"/>
      <c r="G124" s="61"/>
      <c r="H124" s="61"/>
      <c r="I124" s="61"/>
    </row>
    <row r="125" spans="5:9" ht="13" x14ac:dyDescent="0.15">
      <c r="E125" s="61"/>
      <c r="F125" s="61"/>
      <c r="G125" s="61"/>
      <c r="H125" s="61"/>
      <c r="I125" s="61"/>
    </row>
    <row r="126" spans="5:9" ht="13" x14ac:dyDescent="0.15">
      <c r="E126" s="61"/>
      <c r="F126" s="61"/>
      <c r="G126" s="61"/>
      <c r="H126" s="61"/>
      <c r="I126" s="61"/>
    </row>
    <row r="127" spans="5:9" ht="13" x14ac:dyDescent="0.15">
      <c r="E127" s="61"/>
      <c r="F127" s="61"/>
      <c r="G127" s="61"/>
      <c r="H127" s="61"/>
      <c r="I127" s="61"/>
    </row>
    <row r="128" spans="5:9" ht="13" x14ac:dyDescent="0.15">
      <c r="E128" s="61"/>
      <c r="F128" s="61"/>
      <c r="G128" s="61"/>
      <c r="H128" s="61"/>
      <c r="I128" s="61"/>
    </row>
    <row r="129" spans="5:9" ht="13" x14ac:dyDescent="0.15">
      <c r="E129" s="61"/>
      <c r="F129" s="61"/>
      <c r="G129" s="61"/>
      <c r="H129" s="61"/>
      <c r="I129" s="61"/>
    </row>
    <row r="130" spans="5:9" ht="13" x14ac:dyDescent="0.15">
      <c r="E130" s="61"/>
      <c r="F130" s="61"/>
      <c r="G130" s="61"/>
      <c r="H130" s="61"/>
      <c r="I130" s="61"/>
    </row>
    <row r="131" spans="5:9" ht="13" x14ac:dyDescent="0.15">
      <c r="E131" s="61"/>
      <c r="F131" s="61"/>
      <c r="G131" s="61"/>
      <c r="H131" s="61"/>
      <c r="I131" s="61"/>
    </row>
    <row r="132" spans="5:9" ht="13" x14ac:dyDescent="0.15">
      <c r="E132" s="61"/>
      <c r="F132" s="61"/>
      <c r="G132" s="61"/>
      <c r="H132" s="61"/>
      <c r="I132" s="61"/>
    </row>
    <row r="133" spans="5:9" ht="13" x14ac:dyDescent="0.15">
      <c r="E133" s="61"/>
      <c r="F133" s="61"/>
      <c r="G133" s="61"/>
      <c r="H133" s="61"/>
      <c r="I133" s="61"/>
    </row>
    <row r="134" spans="5:9" ht="13" x14ac:dyDescent="0.15">
      <c r="E134" s="61"/>
      <c r="F134" s="61"/>
      <c r="G134" s="61"/>
      <c r="H134" s="61"/>
      <c r="I134" s="61"/>
    </row>
    <row r="135" spans="5:9" ht="13" x14ac:dyDescent="0.15">
      <c r="E135" s="61"/>
      <c r="F135" s="61"/>
      <c r="G135" s="61"/>
      <c r="H135" s="61"/>
      <c r="I135" s="61"/>
    </row>
    <row r="136" spans="5:9" ht="13" x14ac:dyDescent="0.15">
      <c r="E136" s="61"/>
      <c r="F136" s="61"/>
      <c r="G136" s="61"/>
      <c r="H136" s="61"/>
      <c r="I136" s="61"/>
    </row>
    <row r="137" spans="5:9" ht="13" x14ac:dyDescent="0.15">
      <c r="E137" s="61"/>
      <c r="F137" s="61"/>
      <c r="G137" s="61"/>
      <c r="H137" s="61"/>
      <c r="I137" s="61"/>
    </row>
    <row r="138" spans="5:9" ht="13" x14ac:dyDescent="0.15">
      <c r="E138" s="61"/>
      <c r="F138" s="61"/>
      <c r="G138" s="61"/>
      <c r="H138" s="61"/>
      <c r="I138" s="61"/>
    </row>
    <row r="139" spans="5:9" ht="13" x14ac:dyDescent="0.15">
      <c r="E139" s="61"/>
      <c r="F139" s="61"/>
      <c r="G139" s="61"/>
      <c r="H139" s="61"/>
      <c r="I139" s="61"/>
    </row>
    <row r="140" spans="5:9" ht="13" x14ac:dyDescent="0.15">
      <c r="E140" s="61"/>
      <c r="F140" s="61"/>
      <c r="G140" s="61"/>
      <c r="H140" s="61"/>
      <c r="I140" s="61"/>
    </row>
    <row r="141" spans="5:9" ht="13" x14ac:dyDescent="0.15">
      <c r="E141" s="61"/>
      <c r="F141" s="61"/>
      <c r="G141" s="61"/>
      <c r="H141" s="61"/>
      <c r="I141" s="61"/>
    </row>
    <row r="142" spans="5:9" ht="13" x14ac:dyDescent="0.15">
      <c r="E142" s="61"/>
      <c r="F142" s="61"/>
      <c r="G142" s="61"/>
      <c r="H142" s="61"/>
      <c r="I142" s="61"/>
    </row>
    <row r="143" spans="5:9" ht="13" x14ac:dyDescent="0.15">
      <c r="E143" s="61"/>
      <c r="F143" s="61"/>
      <c r="G143" s="61"/>
      <c r="H143" s="61"/>
      <c r="I143" s="61"/>
    </row>
    <row r="144" spans="5:9" ht="13" x14ac:dyDescent="0.15">
      <c r="E144" s="61"/>
      <c r="F144" s="61"/>
      <c r="G144" s="61"/>
      <c r="H144" s="61"/>
      <c r="I144" s="61"/>
    </row>
    <row r="145" spans="5:9" ht="13" x14ac:dyDescent="0.15">
      <c r="E145" s="61"/>
      <c r="F145" s="61"/>
      <c r="G145" s="61"/>
      <c r="H145" s="61"/>
      <c r="I145" s="61"/>
    </row>
    <row r="146" spans="5:9" ht="13" x14ac:dyDescent="0.15">
      <c r="E146" s="61"/>
      <c r="F146" s="61"/>
      <c r="G146" s="61"/>
      <c r="H146" s="61"/>
      <c r="I146" s="61"/>
    </row>
    <row r="147" spans="5:9" ht="13" x14ac:dyDescent="0.15">
      <c r="E147" s="61"/>
      <c r="F147" s="61"/>
      <c r="G147" s="61"/>
      <c r="H147" s="61"/>
      <c r="I147" s="61"/>
    </row>
    <row r="148" spans="5:9" ht="13" x14ac:dyDescent="0.15">
      <c r="E148" s="61"/>
      <c r="F148" s="61"/>
      <c r="G148" s="61"/>
      <c r="H148" s="61"/>
      <c r="I148" s="61"/>
    </row>
    <row r="149" spans="5:9" ht="13" x14ac:dyDescent="0.15">
      <c r="E149" s="61"/>
      <c r="F149" s="61"/>
      <c r="G149" s="61"/>
      <c r="H149" s="61"/>
      <c r="I149" s="61"/>
    </row>
    <row r="150" spans="5:9" ht="13" x14ac:dyDescent="0.15">
      <c r="E150" s="61"/>
      <c r="F150" s="61"/>
      <c r="G150" s="61"/>
      <c r="H150" s="61"/>
      <c r="I150" s="61"/>
    </row>
    <row r="151" spans="5:9" ht="13" x14ac:dyDescent="0.15">
      <c r="E151" s="61"/>
      <c r="F151" s="61"/>
      <c r="G151" s="61"/>
      <c r="H151" s="61"/>
      <c r="I151" s="61"/>
    </row>
    <row r="152" spans="5:9" ht="13" x14ac:dyDescent="0.15">
      <c r="E152" s="61"/>
      <c r="F152" s="61"/>
      <c r="G152" s="61"/>
      <c r="H152" s="61"/>
      <c r="I152" s="61"/>
    </row>
    <row r="153" spans="5:9" ht="13" x14ac:dyDescent="0.15">
      <c r="E153" s="61"/>
      <c r="F153" s="61"/>
      <c r="G153" s="61"/>
      <c r="H153" s="61"/>
      <c r="I153" s="61"/>
    </row>
    <row r="154" spans="5:9" ht="13" x14ac:dyDescent="0.15">
      <c r="E154" s="61"/>
      <c r="F154" s="61"/>
      <c r="G154" s="61"/>
      <c r="H154" s="61"/>
      <c r="I154" s="61"/>
    </row>
    <row r="155" spans="5:9" ht="13" x14ac:dyDescent="0.15">
      <c r="E155" s="61"/>
      <c r="F155" s="61"/>
      <c r="G155" s="61"/>
      <c r="H155" s="61"/>
      <c r="I155" s="61"/>
    </row>
    <row r="156" spans="5:9" ht="13" x14ac:dyDescent="0.15">
      <c r="E156" s="61"/>
      <c r="F156" s="61"/>
      <c r="G156" s="61"/>
      <c r="H156" s="61"/>
      <c r="I156" s="61"/>
    </row>
    <row r="157" spans="5:9" ht="13" x14ac:dyDescent="0.15">
      <c r="E157" s="61"/>
      <c r="F157" s="61"/>
      <c r="G157" s="61"/>
      <c r="H157" s="61"/>
      <c r="I157" s="61"/>
    </row>
    <row r="158" spans="5:9" ht="13" x14ac:dyDescent="0.15">
      <c r="E158" s="61"/>
      <c r="F158" s="61"/>
      <c r="G158" s="61"/>
      <c r="H158" s="61"/>
      <c r="I158" s="61"/>
    </row>
    <row r="159" spans="5:9" ht="13" x14ac:dyDescent="0.15">
      <c r="E159" s="61"/>
      <c r="F159" s="61"/>
      <c r="G159" s="61"/>
      <c r="H159" s="61"/>
      <c r="I159" s="61"/>
    </row>
    <row r="160" spans="5:9" ht="13" x14ac:dyDescent="0.15">
      <c r="E160" s="61"/>
      <c r="F160" s="61"/>
      <c r="G160" s="61"/>
      <c r="H160" s="61"/>
      <c r="I160" s="61"/>
    </row>
    <row r="161" spans="5:9" ht="13" x14ac:dyDescent="0.15">
      <c r="E161" s="61"/>
      <c r="F161" s="61"/>
      <c r="G161" s="61"/>
      <c r="H161" s="61"/>
      <c r="I161" s="61"/>
    </row>
    <row r="162" spans="5:9" ht="13" x14ac:dyDescent="0.15">
      <c r="E162" s="61"/>
      <c r="F162" s="61"/>
      <c r="G162" s="61"/>
      <c r="H162" s="61"/>
      <c r="I162" s="61"/>
    </row>
    <row r="163" spans="5:9" ht="13" x14ac:dyDescent="0.15">
      <c r="E163" s="61"/>
      <c r="F163" s="61"/>
      <c r="G163" s="61"/>
      <c r="H163" s="61"/>
      <c r="I163" s="61"/>
    </row>
    <row r="164" spans="5:9" ht="13" x14ac:dyDescent="0.15">
      <c r="E164" s="61"/>
      <c r="F164" s="61"/>
      <c r="G164" s="61"/>
      <c r="H164" s="61"/>
      <c r="I164" s="61"/>
    </row>
    <row r="165" spans="5:9" ht="13" x14ac:dyDescent="0.15">
      <c r="E165" s="61"/>
      <c r="F165" s="61"/>
      <c r="G165" s="61"/>
      <c r="H165" s="61"/>
      <c r="I165" s="61"/>
    </row>
    <row r="166" spans="5:9" ht="13" x14ac:dyDescent="0.15">
      <c r="E166" s="61"/>
      <c r="F166" s="61"/>
      <c r="G166" s="61"/>
      <c r="H166" s="61"/>
      <c r="I166" s="61"/>
    </row>
    <row r="167" spans="5:9" ht="13" x14ac:dyDescent="0.15">
      <c r="E167" s="61"/>
      <c r="F167" s="61"/>
      <c r="G167" s="61"/>
      <c r="H167" s="61"/>
      <c r="I167" s="61"/>
    </row>
    <row r="168" spans="5:9" ht="13" x14ac:dyDescent="0.15">
      <c r="E168" s="61"/>
      <c r="F168" s="61"/>
      <c r="G168" s="61"/>
      <c r="H168" s="61"/>
      <c r="I168" s="61"/>
    </row>
    <row r="169" spans="5:9" ht="13" x14ac:dyDescent="0.15">
      <c r="E169" s="61"/>
      <c r="F169" s="61"/>
      <c r="G169" s="61"/>
      <c r="H169" s="61"/>
      <c r="I169" s="61"/>
    </row>
    <row r="170" spans="5:9" ht="13" x14ac:dyDescent="0.15">
      <c r="E170" s="61"/>
      <c r="F170" s="61"/>
      <c r="G170" s="61"/>
      <c r="H170" s="61"/>
      <c r="I170" s="61"/>
    </row>
    <row r="171" spans="5:9" ht="13" x14ac:dyDescent="0.15">
      <c r="E171" s="61"/>
      <c r="F171" s="61"/>
      <c r="G171" s="61"/>
      <c r="H171" s="61"/>
      <c r="I171" s="61"/>
    </row>
    <row r="172" spans="5:9" ht="13" x14ac:dyDescent="0.15">
      <c r="E172" s="61"/>
      <c r="F172" s="61"/>
      <c r="G172" s="61"/>
      <c r="H172" s="61"/>
      <c r="I172" s="61"/>
    </row>
    <row r="173" spans="5:9" ht="13" x14ac:dyDescent="0.15">
      <c r="E173" s="61"/>
      <c r="F173" s="61"/>
      <c r="G173" s="61"/>
      <c r="H173" s="61"/>
      <c r="I173" s="61"/>
    </row>
    <row r="174" spans="5:9" ht="13" x14ac:dyDescent="0.15">
      <c r="E174" s="61"/>
      <c r="F174" s="61"/>
      <c r="G174" s="61"/>
      <c r="H174" s="61"/>
      <c r="I174" s="61"/>
    </row>
    <row r="175" spans="5:9" ht="13" x14ac:dyDescent="0.15">
      <c r="E175" s="61"/>
      <c r="F175" s="61"/>
      <c r="G175" s="61"/>
      <c r="H175" s="61"/>
      <c r="I175" s="61"/>
    </row>
    <row r="176" spans="5:9" ht="13" x14ac:dyDescent="0.15">
      <c r="E176" s="61"/>
      <c r="F176" s="61"/>
      <c r="G176" s="61"/>
      <c r="H176" s="61"/>
      <c r="I176" s="61"/>
    </row>
    <row r="177" spans="5:9" ht="13" x14ac:dyDescent="0.15">
      <c r="E177" s="61"/>
      <c r="F177" s="61"/>
      <c r="G177" s="61"/>
      <c r="H177" s="61"/>
      <c r="I177" s="61"/>
    </row>
    <row r="178" spans="5:9" ht="13" x14ac:dyDescent="0.15">
      <c r="E178" s="61"/>
      <c r="F178" s="61"/>
      <c r="G178" s="61"/>
      <c r="H178" s="61"/>
      <c r="I178" s="61"/>
    </row>
    <row r="179" spans="5:9" ht="13" x14ac:dyDescent="0.15">
      <c r="E179" s="61"/>
      <c r="F179" s="61"/>
      <c r="G179" s="61"/>
      <c r="H179" s="61"/>
      <c r="I179" s="61"/>
    </row>
    <row r="180" spans="5:9" ht="13" x14ac:dyDescent="0.15">
      <c r="E180" s="61"/>
      <c r="F180" s="61"/>
      <c r="G180" s="61"/>
      <c r="H180" s="61"/>
      <c r="I180" s="61"/>
    </row>
    <row r="181" spans="5:9" ht="13" x14ac:dyDescent="0.15">
      <c r="E181" s="61"/>
      <c r="F181" s="61"/>
      <c r="G181" s="61"/>
      <c r="H181" s="61"/>
      <c r="I181" s="61"/>
    </row>
    <row r="182" spans="5:9" ht="13" x14ac:dyDescent="0.15">
      <c r="E182" s="61"/>
      <c r="F182" s="61"/>
      <c r="G182" s="61"/>
      <c r="H182" s="61"/>
      <c r="I182" s="61"/>
    </row>
    <row r="183" spans="5:9" ht="13" x14ac:dyDescent="0.15">
      <c r="E183" s="61"/>
      <c r="F183" s="61"/>
      <c r="G183" s="61"/>
      <c r="H183" s="61"/>
      <c r="I183" s="61"/>
    </row>
    <row r="184" spans="5:9" ht="13" x14ac:dyDescent="0.15">
      <c r="E184" s="61"/>
      <c r="F184" s="61"/>
      <c r="G184" s="61"/>
      <c r="H184" s="61"/>
      <c r="I184" s="61"/>
    </row>
    <row r="185" spans="5:9" ht="13" x14ac:dyDescent="0.15">
      <c r="E185" s="61"/>
      <c r="F185" s="61"/>
      <c r="G185" s="61"/>
      <c r="H185" s="61"/>
      <c r="I185" s="61"/>
    </row>
    <row r="186" spans="5:9" ht="13" x14ac:dyDescent="0.15">
      <c r="E186" s="61"/>
      <c r="F186" s="61"/>
      <c r="G186" s="61"/>
      <c r="H186" s="61"/>
      <c r="I186" s="61"/>
    </row>
    <row r="187" spans="5:9" ht="13" x14ac:dyDescent="0.15">
      <c r="E187" s="61"/>
      <c r="F187" s="61"/>
      <c r="G187" s="61"/>
      <c r="H187" s="61"/>
      <c r="I187" s="61"/>
    </row>
    <row r="188" spans="5:9" ht="13" x14ac:dyDescent="0.15">
      <c r="E188" s="61"/>
      <c r="F188" s="61"/>
      <c r="G188" s="61"/>
      <c r="H188" s="61"/>
      <c r="I188" s="61"/>
    </row>
    <row r="189" spans="5:9" ht="13" x14ac:dyDescent="0.15">
      <c r="E189" s="61"/>
      <c r="F189" s="61"/>
      <c r="G189" s="61"/>
      <c r="H189" s="61"/>
      <c r="I189" s="61"/>
    </row>
    <row r="190" spans="5:9" ht="13" x14ac:dyDescent="0.15">
      <c r="E190" s="61"/>
      <c r="F190" s="61"/>
      <c r="G190" s="61"/>
      <c r="H190" s="61"/>
      <c r="I190" s="61"/>
    </row>
    <row r="191" spans="5:9" ht="13" x14ac:dyDescent="0.15">
      <c r="E191" s="61"/>
      <c r="F191" s="61"/>
      <c r="G191" s="61"/>
      <c r="H191" s="61"/>
      <c r="I191" s="61"/>
    </row>
    <row r="192" spans="5:9" ht="13" x14ac:dyDescent="0.15">
      <c r="E192" s="61"/>
      <c r="F192" s="61"/>
      <c r="G192" s="61"/>
      <c r="H192" s="61"/>
      <c r="I192" s="61"/>
    </row>
    <row r="193" spans="5:9" ht="13" x14ac:dyDescent="0.15">
      <c r="E193" s="61"/>
      <c r="F193" s="61"/>
      <c r="G193" s="61"/>
      <c r="H193" s="61"/>
      <c r="I193" s="61"/>
    </row>
    <row r="194" spans="5:9" ht="13" x14ac:dyDescent="0.15">
      <c r="E194" s="61"/>
      <c r="F194" s="61"/>
      <c r="G194" s="61"/>
      <c r="H194" s="61"/>
      <c r="I194" s="61"/>
    </row>
    <row r="195" spans="5:9" ht="13" x14ac:dyDescent="0.15">
      <c r="E195" s="61"/>
      <c r="F195" s="61"/>
      <c r="G195" s="61"/>
      <c r="H195" s="61"/>
      <c r="I195" s="61"/>
    </row>
    <row r="196" spans="5:9" ht="13" x14ac:dyDescent="0.15">
      <c r="E196" s="61"/>
      <c r="F196" s="61"/>
      <c r="G196" s="61"/>
      <c r="H196" s="61"/>
      <c r="I196" s="61"/>
    </row>
    <row r="197" spans="5:9" ht="13" x14ac:dyDescent="0.15">
      <c r="E197" s="61"/>
      <c r="F197" s="61"/>
      <c r="G197" s="61"/>
      <c r="H197" s="61"/>
      <c r="I197" s="61"/>
    </row>
    <row r="198" spans="5:9" ht="13" x14ac:dyDescent="0.15">
      <c r="E198" s="61"/>
      <c r="F198" s="61"/>
      <c r="G198" s="61"/>
      <c r="H198" s="61"/>
      <c r="I198" s="61"/>
    </row>
    <row r="199" spans="5:9" ht="13" x14ac:dyDescent="0.15">
      <c r="E199" s="61"/>
      <c r="F199" s="61"/>
      <c r="G199" s="61"/>
      <c r="H199" s="61"/>
      <c r="I199" s="61"/>
    </row>
    <row r="200" spans="5:9" ht="13" x14ac:dyDescent="0.15">
      <c r="E200" s="61"/>
      <c r="F200" s="61"/>
      <c r="G200" s="61"/>
      <c r="H200" s="61"/>
      <c r="I200" s="61"/>
    </row>
    <row r="201" spans="5:9" ht="13" x14ac:dyDescent="0.15">
      <c r="E201" s="61"/>
      <c r="F201" s="61"/>
      <c r="G201" s="61"/>
      <c r="H201" s="61"/>
      <c r="I201" s="61"/>
    </row>
    <row r="202" spans="5:9" ht="13" x14ac:dyDescent="0.15">
      <c r="E202" s="61"/>
      <c r="F202" s="61"/>
      <c r="G202" s="61"/>
      <c r="H202" s="61"/>
      <c r="I202" s="61"/>
    </row>
    <row r="203" spans="5:9" ht="13" x14ac:dyDescent="0.15">
      <c r="E203" s="61"/>
      <c r="F203" s="61"/>
      <c r="G203" s="61"/>
      <c r="H203" s="61"/>
      <c r="I203" s="61"/>
    </row>
    <row r="204" spans="5:9" ht="13" x14ac:dyDescent="0.15">
      <c r="E204" s="61"/>
      <c r="F204" s="61"/>
      <c r="G204" s="61"/>
      <c r="H204" s="61"/>
      <c r="I204" s="61"/>
    </row>
    <row r="205" spans="5:9" ht="13" x14ac:dyDescent="0.15">
      <c r="E205" s="61"/>
      <c r="F205" s="61"/>
      <c r="G205" s="61"/>
      <c r="H205" s="61"/>
      <c r="I205" s="61"/>
    </row>
    <row r="206" spans="5:9" ht="13" x14ac:dyDescent="0.15">
      <c r="E206" s="61"/>
      <c r="F206" s="61"/>
      <c r="G206" s="61"/>
      <c r="H206" s="61"/>
      <c r="I206" s="61"/>
    </row>
    <row r="207" spans="5:9" ht="13" x14ac:dyDescent="0.15">
      <c r="E207" s="61"/>
      <c r="F207" s="61"/>
      <c r="G207" s="61"/>
      <c r="H207" s="61"/>
      <c r="I207" s="61"/>
    </row>
    <row r="208" spans="5:9" ht="13" x14ac:dyDescent="0.15">
      <c r="E208" s="61"/>
      <c r="F208" s="61"/>
      <c r="G208" s="61"/>
      <c r="H208" s="61"/>
      <c r="I208" s="61"/>
    </row>
    <row r="209" spans="5:9" ht="13" x14ac:dyDescent="0.15">
      <c r="E209" s="61"/>
      <c r="F209" s="61"/>
      <c r="G209" s="61"/>
      <c r="H209" s="61"/>
      <c r="I209" s="61"/>
    </row>
    <row r="210" spans="5:9" ht="13" x14ac:dyDescent="0.15">
      <c r="E210" s="61"/>
      <c r="F210" s="61"/>
      <c r="G210" s="61"/>
      <c r="H210" s="61"/>
      <c r="I210" s="61"/>
    </row>
    <row r="211" spans="5:9" ht="13" x14ac:dyDescent="0.15">
      <c r="E211" s="61"/>
      <c r="F211" s="61"/>
      <c r="G211" s="61"/>
      <c r="H211" s="61"/>
      <c r="I211" s="61"/>
    </row>
    <row r="212" spans="5:9" ht="13" x14ac:dyDescent="0.15">
      <c r="E212" s="61"/>
      <c r="F212" s="61"/>
      <c r="G212" s="61"/>
      <c r="H212" s="61"/>
      <c r="I212" s="61"/>
    </row>
    <row r="213" spans="5:9" ht="13" x14ac:dyDescent="0.15">
      <c r="E213" s="61"/>
      <c r="F213" s="61"/>
      <c r="G213" s="61"/>
      <c r="H213" s="61"/>
      <c r="I213" s="61"/>
    </row>
    <row r="214" spans="5:9" ht="13" x14ac:dyDescent="0.15">
      <c r="E214" s="61"/>
      <c r="F214" s="61"/>
      <c r="G214" s="61"/>
      <c r="H214" s="61"/>
      <c r="I214" s="61"/>
    </row>
    <row r="215" spans="5:9" ht="13" x14ac:dyDescent="0.15">
      <c r="E215" s="61"/>
      <c r="F215" s="61"/>
      <c r="G215" s="61"/>
      <c r="H215" s="61"/>
      <c r="I215" s="61"/>
    </row>
    <row r="216" spans="5:9" ht="13" x14ac:dyDescent="0.15">
      <c r="E216" s="61"/>
      <c r="F216" s="61"/>
      <c r="G216" s="61"/>
      <c r="H216" s="61"/>
      <c r="I216" s="61"/>
    </row>
    <row r="217" spans="5:9" ht="13" x14ac:dyDescent="0.15">
      <c r="E217" s="61"/>
      <c r="F217" s="61"/>
      <c r="G217" s="61"/>
      <c r="H217" s="61"/>
      <c r="I217" s="61"/>
    </row>
    <row r="218" spans="5:9" ht="13" x14ac:dyDescent="0.15">
      <c r="E218" s="61"/>
      <c r="F218" s="61"/>
      <c r="G218" s="61"/>
      <c r="H218" s="61"/>
      <c r="I218" s="61"/>
    </row>
    <row r="219" spans="5:9" ht="13" x14ac:dyDescent="0.15">
      <c r="E219" s="61"/>
      <c r="F219" s="61"/>
      <c r="G219" s="61"/>
      <c r="H219" s="61"/>
      <c r="I219" s="61"/>
    </row>
    <row r="220" spans="5:9" ht="13" x14ac:dyDescent="0.15">
      <c r="E220" s="61"/>
      <c r="F220" s="61"/>
      <c r="G220" s="61"/>
      <c r="H220" s="61"/>
      <c r="I220" s="61"/>
    </row>
    <row r="221" spans="5:9" ht="13" x14ac:dyDescent="0.15">
      <c r="E221" s="61"/>
      <c r="F221" s="61"/>
      <c r="G221" s="61"/>
      <c r="H221" s="61"/>
      <c r="I221" s="61"/>
    </row>
    <row r="222" spans="5:9" ht="13" x14ac:dyDescent="0.15">
      <c r="E222" s="61"/>
      <c r="F222" s="61"/>
      <c r="G222" s="61"/>
      <c r="H222" s="61"/>
      <c r="I222" s="61"/>
    </row>
    <row r="223" spans="5:9" ht="13" x14ac:dyDescent="0.15">
      <c r="E223" s="61"/>
      <c r="F223" s="61"/>
      <c r="G223" s="61"/>
      <c r="H223" s="61"/>
      <c r="I223" s="61"/>
    </row>
    <row r="224" spans="5:9" ht="13" x14ac:dyDescent="0.15">
      <c r="E224" s="61"/>
      <c r="F224" s="61"/>
      <c r="G224" s="61"/>
      <c r="H224" s="61"/>
      <c r="I224" s="61"/>
    </row>
    <row r="225" spans="5:9" ht="13" x14ac:dyDescent="0.15">
      <c r="E225" s="61"/>
      <c r="F225" s="61"/>
      <c r="G225" s="61"/>
      <c r="H225" s="61"/>
      <c r="I225" s="61"/>
    </row>
    <row r="226" spans="5:9" ht="13" x14ac:dyDescent="0.15">
      <c r="E226" s="61"/>
      <c r="F226" s="61"/>
      <c r="G226" s="61"/>
      <c r="H226" s="61"/>
      <c r="I226" s="61"/>
    </row>
    <row r="227" spans="5:9" ht="13" x14ac:dyDescent="0.15">
      <c r="E227" s="61"/>
      <c r="F227" s="61"/>
      <c r="G227" s="61"/>
      <c r="H227" s="61"/>
      <c r="I227" s="61"/>
    </row>
    <row r="228" spans="5:9" ht="13" x14ac:dyDescent="0.15">
      <c r="E228" s="61"/>
      <c r="F228" s="61"/>
      <c r="G228" s="61"/>
      <c r="H228" s="61"/>
      <c r="I228" s="61"/>
    </row>
    <row r="229" spans="5:9" ht="13" x14ac:dyDescent="0.15">
      <c r="E229" s="61"/>
      <c r="F229" s="61"/>
      <c r="G229" s="61"/>
      <c r="H229" s="61"/>
      <c r="I229" s="61"/>
    </row>
    <row r="230" spans="5:9" ht="13" x14ac:dyDescent="0.15">
      <c r="E230" s="61"/>
      <c r="F230" s="61"/>
      <c r="G230" s="61"/>
      <c r="H230" s="61"/>
      <c r="I230" s="61"/>
    </row>
    <row r="231" spans="5:9" ht="13" x14ac:dyDescent="0.15">
      <c r="E231" s="61"/>
      <c r="F231" s="61"/>
      <c r="G231" s="61"/>
      <c r="H231" s="61"/>
      <c r="I231" s="61"/>
    </row>
    <row r="232" spans="5:9" ht="13" x14ac:dyDescent="0.15">
      <c r="E232" s="61"/>
      <c r="F232" s="61"/>
      <c r="G232" s="61"/>
      <c r="H232" s="61"/>
      <c r="I232" s="61"/>
    </row>
    <row r="233" spans="5:9" ht="13" x14ac:dyDescent="0.15">
      <c r="E233" s="61"/>
      <c r="F233" s="61"/>
      <c r="G233" s="61"/>
      <c r="H233" s="61"/>
      <c r="I233" s="61"/>
    </row>
    <row r="234" spans="5:9" ht="13" x14ac:dyDescent="0.15">
      <c r="E234" s="61"/>
      <c r="F234" s="61"/>
      <c r="G234" s="61"/>
      <c r="H234" s="61"/>
      <c r="I234" s="61"/>
    </row>
    <row r="235" spans="5:9" ht="13" x14ac:dyDescent="0.15">
      <c r="E235" s="61"/>
      <c r="F235" s="61"/>
      <c r="G235" s="61"/>
      <c r="H235" s="61"/>
      <c r="I235" s="61"/>
    </row>
    <row r="236" spans="5:9" ht="13" x14ac:dyDescent="0.15">
      <c r="E236" s="61"/>
      <c r="F236" s="61"/>
      <c r="G236" s="61"/>
      <c r="H236" s="61"/>
      <c r="I236" s="61"/>
    </row>
    <row r="237" spans="5:9" ht="13" x14ac:dyDescent="0.15">
      <c r="E237" s="61"/>
      <c r="F237" s="61"/>
      <c r="G237" s="61"/>
      <c r="H237" s="61"/>
      <c r="I237" s="61"/>
    </row>
    <row r="238" spans="5:9" ht="13" x14ac:dyDescent="0.15">
      <c r="E238" s="61"/>
      <c r="F238" s="61"/>
      <c r="G238" s="61"/>
      <c r="H238" s="61"/>
      <c r="I238" s="61"/>
    </row>
    <row r="239" spans="5:9" ht="13" x14ac:dyDescent="0.15">
      <c r="E239" s="61"/>
      <c r="F239" s="61"/>
      <c r="G239" s="61"/>
      <c r="H239" s="61"/>
      <c r="I239" s="61"/>
    </row>
    <row r="240" spans="5:9" ht="13" x14ac:dyDescent="0.15">
      <c r="E240" s="61"/>
      <c r="F240" s="61"/>
      <c r="G240" s="61"/>
      <c r="H240" s="61"/>
      <c r="I240" s="61"/>
    </row>
    <row r="241" spans="5:9" ht="13" x14ac:dyDescent="0.15">
      <c r="E241" s="61"/>
      <c r="F241" s="61"/>
      <c r="G241" s="61"/>
      <c r="H241" s="61"/>
      <c r="I241" s="61"/>
    </row>
    <row r="242" spans="5:9" ht="13" x14ac:dyDescent="0.15">
      <c r="E242" s="61"/>
      <c r="F242" s="61"/>
      <c r="G242" s="61"/>
      <c r="H242" s="61"/>
      <c r="I242" s="61"/>
    </row>
    <row r="243" spans="5:9" ht="13" x14ac:dyDescent="0.15">
      <c r="E243" s="61"/>
      <c r="F243" s="61"/>
      <c r="G243" s="61"/>
      <c r="H243" s="61"/>
      <c r="I243" s="61"/>
    </row>
    <row r="244" spans="5:9" ht="13" x14ac:dyDescent="0.15">
      <c r="E244" s="61"/>
      <c r="F244" s="61"/>
      <c r="G244" s="61"/>
      <c r="H244" s="61"/>
      <c r="I244" s="61"/>
    </row>
    <row r="245" spans="5:9" ht="13" x14ac:dyDescent="0.15">
      <c r="E245" s="61"/>
      <c r="F245" s="61"/>
      <c r="G245" s="61"/>
      <c r="H245" s="61"/>
      <c r="I245" s="61"/>
    </row>
    <row r="246" spans="5:9" ht="13" x14ac:dyDescent="0.15">
      <c r="E246" s="61"/>
      <c r="F246" s="61"/>
      <c r="G246" s="61"/>
      <c r="H246" s="61"/>
      <c r="I246" s="61"/>
    </row>
    <row r="247" spans="5:9" ht="13" x14ac:dyDescent="0.15">
      <c r="E247" s="61"/>
      <c r="F247" s="61"/>
      <c r="G247" s="61"/>
      <c r="H247" s="61"/>
      <c r="I247" s="61"/>
    </row>
    <row r="248" spans="5:9" ht="13" x14ac:dyDescent="0.15">
      <c r="E248" s="61"/>
      <c r="F248" s="61"/>
      <c r="G248" s="61"/>
      <c r="H248" s="61"/>
      <c r="I248" s="61"/>
    </row>
    <row r="249" spans="5:9" ht="13" x14ac:dyDescent="0.15">
      <c r="E249" s="61"/>
      <c r="F249" s="61"/>
      <c r="G249" s="61"/>
      <c r="H249" s="61"/>
      <c r="I249" s="61"/>
    </row>
    <row r="250" spans="5:9" ht="13" x14ac:dyDescent="0.15">
      <c r="E250" s="61"/>
      <c r="F250" s="61"/>
      <c r="G250" s="61"/>
      <c r="H250" s="61"/>
      <c r="I250" s="61"/>
    </row>
    <row r="251" spans="5:9" ht="13" x14ac:dyDescent="0.15">
      <c r="E251" s="61"/>
      <c r="F251" s="61"/>
      <c r="G251" s="61"/>
      <c r="H251" s="61"/>
      <c r="I251" s="61"/>
    </row>
    <row r="252" spans="5:9" ht="13" x14ac:dyDescent="0.15">
      <c r="E252" s="61"/>
      <c r="F252" s="61"/>
      <c r="G252" s="61"/>
      <c r="H252" s="61"/>
      <c r="I252" s="61"/>
    </row>
    <row r="253" spans="5:9" ht="13" x14ac:dyDescent="0.15">
      <c r="E253" s="61"/>
      <c r="F253" s="61"/>
      <c r="G253" s="61"/>
      <c r="H253" s="61"/>
      <c r="I253" s="61"/>
    </row>
    <row r="254" spans="5:9" ht="13" x14ac:dyDescent="0.15">
      <c r="E254" s="61"/>
      <c r="F254" s="61"/>
      <c r="G254" s="61"/>
      <c r="H254" s="61"/>
      <c r="I254" s="61"/>
    </row>
    <row r="255" spans="5:9" ht="13" x14ac:dyDescent="0.15">
      <c r="E255" s="61"/>
      <c r="F255" s="61"/>
      <c r="G255" s="61"/>
      <c r="H255" s="61"/>
      <c r="I255" s="61"/>
    </row>
    <row r="256" spans="5:9" ht="13" x14ac:dyDescent="0.15">
      <c r="E256" s="61"/>
      <c r="F256" s="61"/>
      <c r="G256" s="61"/>
      <c r="H256" s="61"/>
      <c r="I256" s="61"/>
    </row>
    <row r="257" spans="5:9" ht="13" x14ac:dyDescent="0.15">
      <c r="E257" s="61"/>
      <c r="F257" s="61"/>
      <c r="G257" s="61"/>
      <c r="H257" s="61"/>
      <c r="I257" s="61"/>
    </row>
    <row r="258" spans="5:9" ht="13" x14ac:dyDescent="0.15">
      <c r="E258" s="61"/>
      <c r="F258" s="61"/>
      <c r="G258" s="61"/>
      <c r="H258" s="61"/>
      <c r="I258" s="61"/>
    </row>
    <row r="259" spans="5:9" ht="13" x14ac:dyDescent="0.15">
      <c r="E259" s="61"/>
      <c r="F259" s="61"/>
      <c r="G259" s="61"/>
      <c r="H259" s="61"/>
      <c r="I259" s="61"/>
    </row>
    <row r="260" spans="5:9" ht="13" x14ac:dyDescent="0.15">
      <c r="E260" s="61"/>
      <c r="F260" s="61"/>
      <c r="G260" s="61"/>
      <c r="H260" s="61"/>
      <c r="I260" s="61"/>
    </row>
    <row r="261" spans="5:9" ht="13" x14ac:dyDescent="0.15">
      <c r="E261" s="61"/>
      <c r="F261" s="61"/>
      <c r="G261" s="61"/>
      <c r="H261" s="61"/>
      <c r="I261" s="61"/>
    </row>
    <row r="262" spans="5:9" ht="13" x14ac:dyDescent="0.15">
      <c r="E262" s="61"/>
      <c r="F262" s="61"/>
      <c r="G262" s="61"/>
      <c r="H262" s="61"/>
      <c r="I262" s="61"/>
    </row>
    <row r="263" spans="5:9" ht="13" x14ac:dyDescent="0.15">
      <c r="E263" s="61"/>
      <c r="F263" s="61"/>
      <c r="G263" s="61"/>
      <c r="H263" s="61"/>
      <c r="I263" s="61"/>
    </row>
    <row r="264" spans="5:9" ht="13" x14ac:dyDescent="0.15">
      <c r="E264" s="61"/>
      <c r="F264" s="61"/>
      <c r="G264" s="61"/>
      <c r="H264" s="61"/>
      <c r="I264" s="61"/>
    </row>
    <row r="265" spans="5:9" ht="13" x14ac:dyDescent="0.15">
      <c r="E265" s="61"/>
      <c r="F265" s="61"/>
      <c r="G265" s="61"/>
      <c r="H265" s="61"/>
      <c r="I265" s="61"/>
    </row>
    <row r="266" spans="5:9" ht="13" x14ac:dyDescent="0.15">
      <c r="E266" s="61"/>
      <c r="F266" s="61"/>
      <c r="G266" s="61"/>
      <c r="H266" s="61"/>
      <c r="I266" s="61"/>
    </row>
    <row r="267" spans="5:9" ht="13" x14ac:dyDescent="0.15">
      <c r="E267" s="61"/>
      <c r="F267" s="61"/>
      <c r="G267" s="61"/>
      <c r="H267" s="61"/>
      <c r="I267" s="61"/>
    </row>
    <row r="268" spans="5:9" ht="13" x14ac:dyDescent="0.15">
      <c r="E268" s="61"/>
      <c r="F268" s="61"/>
      <c r="G268" s="61"/>
      <c r="H268" s="61"/>
      <c r="I268" s="61"/>
    </row>
    <row r="269" spans="5:9" ht="13" x14ac:dyDescent="0.15">
      <c r="E269" s="61"/>
      <c r="F269" s="61"/>
      <c r="G269" s="61"/>
      <c r="H269" s="61"/>
      <c r="I269" s="61"/>
    </row>
    <row r="270" spans="5:9" ht="13" x14ac:dyDescent="0.15">
      <c r="E270" s="61"/>
      <c r="F270" s="61"/>
      <c r="G270" s="61"/>
      <c r="H270" s="61"/>
      <c r="I270" s="61"/>
    </row>
    <row r="271" spans="5:9" ht="13" x14ac:dyDescent="0.15">
      <c r="E271" s="61"/>
      <c r="F271" s="61"/>
      <c r="G271" s="61"/>
      <c r="H271" s="61"/>
      <c r="I271" s="61"/>
    </row>
    <row r="272" spans="5:9" ht="13" x14ac:dyDescent="0.15">
      <c r="E272" s="61"/>
      <c r="F272" s="61"/>
      <c r="G272" s="61"/>
      <c r="H272" s="61"/>
      <c r="I272" s="61"/>
    </row>
    <row r="273" spans="5:9" ht="13" x14ac:dyDescent="0.15">
      <c r="E273" s="61"/>
      <c r="F273" s="61"/>
      <c r="G273" s="61"/>
      <c r="H273" s="61"/>
      <c r="I273" s="61"/>
    </row>
    <row r="274" spans="5:9" ht="13" x14ac:dyDescent="0.15">
      <c r="E274" s="61"/>
      <c r="F274" s="61"/>
      <c r="G274" s="61"/>
      <c r="H274" s="61"/>
      <c r="I274" s="61"/>
    </row>
    <row r="275" spans="5:9" ht="13" x14ac:dyDescent="0.15">
      <c r="E275" s="61"/>
      <c r="F275" s="61"/>
      <c r="G275" s="61"/>
      <c r="H275" s="61"/>
      <c r="I275" s="61"/>
    </row>
    <row r="276" spans="5:9" ht="13" x14ac:dyDescent="0.15">
      <c r="E276" s="61"/>
      <c r="F276" s="61"/>
      <c r="G276" s="61"/>
      <c r="H276" s="61"/>
      <c r="I276" s="61"/>
    </row>
    <row r="277" spans="5:9" ht="13" x14ac:dyDescent="0.15">
      <c r="E277" s="61"/>
      <c r="F277" s="61"/>
      <c r="G277" s="61"/>
      <c r="H277" s="61"/>
      <c r="I277" s="61"/>
    </row>
    <row r="278" spans="5:9" ht="13" x14ac:dyDescent="0.15">
      <c r="E278" s="61"/>
      <c r="F278" s="61"/>
      <c r="G278" s="61"/>
      <c r="H278" s="61"/>
      <c r="I278" s="61"/>
    </row>
    <row r="279" spans="5:9" ht="13" x14ac:dyDescent="0.15">
      <c r="E279" s="61"/>
      <c r="F279" s="61"/>
      <c r="G279" s="61"/>
      <c r="H279" s="61"/>
      <c r="I279" s="61"/>
    </row>
    <row r="280" spans="5:9" ht="13" x14ac:dyDescent="0.15">
      <c r="E280" s="61"/>
      <c r="F280" s="61"/>
      <c r="G280" s="61"/>
      <c r="H280" s="61"/>
      <c r="I280" s="61"/>
    </row>
    <row r="281" spans="5:9" ht="13" x14ac:dyDescent="0.15">
      <c r="E281" s="61"/>
      <c r="F281" s="61"/>
      <c r="G281" s="61"/>
      <c r="H281" s="61"/>
      <c r="I281" s="61"/>
    </row>
    <row r="282" spans="5:9" ht="13" x14ac:dyDescent="0.15">
      <c r="E282" s="61"/>
      <c r="F282" s="61"/>
      <c r="G282" s="61"/>
      <c r="H282" s="61"/>
      <c r="I282" s="61"/>
    </row>
    <row r="283" spans="5:9" ht="13" x14ac:dyDescent="0.15">
      <c r="E283" s="61"/>
      <c r="F283" s="61"/>
      <c r="G283" s="61"/>
      <c r="H283" s="61"/>
      <c r="I283" s="61"/>
    </row>
    <row r="284" spans="5:9" ht="13" x14ac:dyDescent="0.15">
      <c r="E284" s="61"/>
      <c r="F284" s="61"/>
      <c r="G284" s="61"/>
      <c r="H284" s="61"/>
      <c r="I284" s="61"/>
    </row>
    <row r="285" spans="5:9" ht="13" x14ac:dyDescent="0.15">
      <c r="E285" s="61"/>
      <c r="F285" s="61"/>
      <c r="G285" s="61"/>
      <c r="H285" s="61"/>
      <c r="I285" s="61"/>
    </row>
    <row r="286" spans="5:9" ht="13" x14ac:dyDescent="0.15">
      <c r="E286" s="61"/>
      <c r="F286" s="61"/>
      <c r="G286" s="61"/>
      <c r="H286" s="61"/>
      <c r="I286" s="61"/>
    </row>
    <row r="287" spans="5:9" ht="13" x14ac:dyDescent="0.15">
      <c r="E287" s="61"/>
      <c r="F287" s="61"/>
      <c r="G287" s="61"/>
      <c r="H287" s="61"/>
      <c r="I287" s="61"/>
    </row>
    <row r="288" spans="5:9" ht="13" x14ac:dyDescent="0.15">
      <c r="E288" s="61"/>
      <c r="F288" s="61"/>
      <c r="G288" s="61"/>
      <c r="H288" s="61"/>
      <c r="I288" s="61"/>
    </row>
    <row r="289" spans="5:9" ht="13" x14ac:dyDescent="0.15">
      <c r="E289" s="61"/>
      <c r="F289" s="61"/>
      <c r="G289" s="61"/>
      <c r="H289" s="61"/>
      <c r="I289" s="61"/>
    </row>
    <row r="290" spans="5:9" ht="13" x14ac:dyDescent="0.15">
      <c r="E290" s="61"/>
      <c r="F290" s="61"/>
      <c r="G290" s="61"/>
      <c r="H290" s="61"/>
      <c r="I290" s="61"/>
    </row>
    <row r="291" spans="5:9" ht="13" x14ac:dyDescent="0.15">
      <c r="E291" s="61"/>
      <c r="F291" s="61"/>
      <c r="G291" s="61"/>
      <c r="H291" s="61"/>
      <c r="I291" s="61"/>
    </row>
    <row r="292" spans="5:9" ht="13" x14ac:dyDescent="0.15">
      <c r="E292" s="61"/>
      <c r="F292" s="61"/>
      <c r="G292" s="61"/>
      <c r="H292" s="61"/>
      <c r="I292" s="61"/>
    </row>
    <row r="293" spans="5:9" ht="13" x14ac:dyDescent="0.15">
      <c r="E293" s="61"/>
      <c r="F293" s="61"/>
      <c r="G293" s="61"/>
      <c r="H293" s="61"/>
      <c r="I293" s="61"/>
    </row>
    <row r="294" spans="5:9" ht="13" x14ac:dyDescent="0.15">
      <c r="E294" s="61"/>
      <c r="F294" s="61"/>
      <c r="G294" s="61"/>
      <c r="H294" s="61"/>
      <c r="I294" s="61"/>
    </row>
    <row r="295" spans="5:9" ht="13" x14ac:dyDescent="0.15">
      <c r="E295" s="61"/>
      <c r="F295" s="61"/>
      <c r="G295" s="61"/>
      <c r="H295" s="61"/>
      <c r="I295" s="61"/>
    </row>
    <row r="296" spans="5:9" ht="13" x14ac:dyDescent="0.15">
      <c r="E296" s="61"/>
      <c r="F296" s="61"/>
      <c r="G296" s="61"/>
      <c r="H296" s="61"/>
      <c r="I296" s="61"/>
    </row>
    <row r="297" spans="5:9" ht="13" x14ac:dyDescent="0.15">
      <c r="E297" s="61"/>
      <c r="F297" s="61"/>
      <c r="G297" s="61"/>
      <c r="H297" s="61"/>
      <c r="I297" s="61"/>
    </row>
    <row r="298" spans="5:9" ht="13" x14ac:dyDescent="0.15">
      <c r="E298" s="61"/>
      <c r="F298" s="61"/>
      <c r="G298" s="61"/>
      <c r="H298" s="61"/>
      <c r="I298" s="61"/>
    </row>
    <row r="299" spans="5:9" ht="13" x14ac:dyDescent="0.15">
      <c r="E299" s="61"/>
      <c r="F299" s="61"/>
      <c r="G299" s="61"/>
      <c r="H299" s="61"/>
      <c r="I299" s="61"/>
    </row>
    <row r="300" spans="5:9" ht="13" x14ac:dyDescent="0.15">
      <c r="E300" s="61"/>
      <c r="F300" s="61"/>
      <c r="G300" s="61"/>
      <c r="H300" s="61"/>
      <c r="I300" s="61"/>
    </row>
    <row r="301" spans="5:9" ht="13" x14ac:dyDescent="0.15">
      <c r="E301" s="61"/>
      <c r="F301" s="61"/>
      <c r="G301" s="61"/>
      <c r="H301" s="61"/>
      <c r="I301" s="61"/>
    </row>
    <row r="302" spans="5:9" ht="13" x14ac:dyDescent="0.15">
      <c r="E302" s="61"/>
      <c r="F302" s="61"/>
      <c r="G302" s="61"/>
      <c r="H302" s="61"/>
      <c r="I302" s="61"/>
    </row>
    <row r="303" spans="5:9" ht="13" x14ac:dyDescent="0.15">
      <c r="E303" s="61"/>
      <c r="F303" s="61"/>
      <c r="G303" s="61"/>
      <c r="H303" s="61"/>
      <c r="I303" s="61"/>
    </row>
    <row r="304" spans="5:9" ht="13" x14ac:dyDescent="0.15">
      <c r="E304" s="61"/>
      <c r="F304" s="61"/>
      <c r="G304" s="61"/>
      <c r="H304" s="61"/>
      <c r="I304" s="61"/>
    </row>
    <row r="305" spans="5:9" ht="13" x14ac:dyDescent="0.15">
      <c r="E305" s="61"/>
      <c r="F305" s="61"/>
      <c r="G305" s="61"/>
      <c r="H305" s="61"/>
      <c r="I305" s="61"/>
    </row>
    <row r="306" spans="5:9" ht="13" x14ac:dyDescent="0.15">
      <c r="E306" s="61"/>
      <c r="F306" s="61"/>
      <c r="G306" s="61"/>
      <c r="H306" s="61"/>
      <c r="I306" s="61"/>
    </row>
    <row r="307" spans="5:9" ht="13" x14ac:dyDescent="0.15">
      <c r="E307" s="61"/>
      <c r="F307" s="61"/>
      <c r="G307" s="61"/>
      <c r="H307" s="61"/>
      <c r="I307" s="61"/>
    </row>
    <row r="308" spans="5:9" ht="13" x14ac:dyDescent="0.15">
      <c r="E308" s="61"/>
      <c r="F308" s="61"/>
      <c r="G308" s="61"/>
      <c r="H308" s="61"/>
      <c r="I308" s="61"/>
    </row>
    <row r="309" spans="5:9" ht="13" x14ac:dyDescent="0.15">
      <c r="E309" s="61"/>
      <c r="F309" s="61"/>
      <c r="G309" s="61"/>
      <c r="H309" s="61"/>
      <c r="I309" s="61"/>
    </row>
    <row r="310" spans="5:9" ht="13" x14ac:dyDescent="0.15">
      <c r="E310" s="61"/>
      <c r="F310" s="61"/>
      <c r="G310" s="61"/>
      <c r="H310" s="61"/>
      <c r="I310" s="61"/>
    </row>
    <row r="311" spans="5:9" ht="13" x14ac:dyDescent="0.15">
      <c r="E311" s="61"/>
      <c r="F311" s="61"/>
      <c r="G311" s="61"/>
      <c r="H311" s="61"/>
      <c r="I311" s="61"/>
    </row>
    <row r="312" spans="5:9" ht="13" x14ac:dyDescent="0.15">
      <c r="E312" s="61"/>
      <c r="F312" s="61"/>
      <c r="G312" s="61"/>
      <c r="H312" s="61"/>
      <c r="I312" s="61"/>
    </row>
    <row r="313" spans="5:9" ht="13" x14ac:dyDescent="0.15">
      <c r="E313" s="61"/>
      <c r="F313" s="61"/>
      <c r="G313" s="61"/>
      <c r="H313" s="61"/>
      <c r="I313" s="61"/>
    </row>
    <row r="314" spans="5:9" ht="13" x14ac:dyDescent="0.15">
      <c r="E314" s="61"/>
      <c r="F314" s="61"/>
      <c r="G314" s="61"/>
      <c r="H314" s="61"/>
      <c r="I314" s="61"/>
    </row>
    <row r="315" spans="5:9" ht="13" x14ac:dyDescent="0.15">
      <c r="E315" s="61"/>
      <c r="F315" s="61"/>
      <c r="G315" s="61"/>
      <c r="H315" s="61"/>
      <c r="I315" s="61"/>
    </row>
    <row r="316" spans="5:9" ht="13" x14ac:dyDescent="0.15">
      <c r="E316" s="61"/>
      <c r="F316" s="61"/>
      <c r="G316" s="61"/>
      <c r="H316" s="61"/>
      <c r="I316" s="61"/>
    </row>
    <row r="317" spans="5:9" ht="13" x14ac:dyDescent="0.15">
      <c r="E317" s="61"/>
      <c r="F317" s="61"/>
      <c r="G317" s="61"/>
      <c r="H317" s="61"/>
      <c r="I317" s="61"/>
    </row>
    <row r="318" spans="5:9" ht="13" x14ac:dyDescent="0.15">
      <c r="E318" s="61"/>
      <c r="F318" s="61"/>
      <c r="G318" s="61"/>
      <c r="H318" s="61"/>
      <c r="I318" s="61"/>
    </row>
    <row r="319" spans="5:9" ht="13" x14ac:dyDescent="0.15">
      <c r="E319" s="61"/>
      <c r="F319" s="61"/>
      <c r="G319" s="61"/>
      <c r="H319" s="61"/>
      <c r="I319" s="61"/>
    </row>
    <row r="320" spans="5:9" ht="13" x14ac:dyDescent="0.15">
      <c r="E320" s="61"/>
      <c r="F320" s="61"/>
      <c r="G320" s="61"/>
      <c r="H320" s="61"/>
      <c r="I320" s="61"/>
    </row>
    <row r="321" spans="5:9" ht="13" x14ac:dyDescent="0.15">
      <c r="E321" s="61"/>
      <c r="F321" s="61"/>
      <c r="G321" s="61"/>
      <c r="H321" s="61"/>
      <c r="I321" s="61"/>
    </row>
    <row r="322" spans="5:9" ht="13" x14ac:dyDescent="0.15">
      <c r="E322" s="61"/>
      <c r="F322" s="61"/>
      <c r="G322" s="61"/>
      <c r="H322" s="61"/>
      <c r="I322" s="61"/>
    </row>
    <row r="323" spans="5:9" ht="13" x14ac:dyDescent="0.15">
      <c r="E323" s="61"/>
      <c r="F323" s="61"/>
      <c r="G323" s="61"/>
      <c r="H323" s="61"/>
      <c r="I323" s="61"/>
    </row>
    <row r="324" spans="5:9" ht="13" x14ac:dyDescent="0.15">
      <c r="E324" s="61"/>
      <c r="F324" s="61"/>
      <c r="G324" s="61"/>
      <c r="H324" s="61"/>
      <c r="I324" s="61"/>
    </row>
    <row r="325" spans="5:9" ht="13" x14ac:dyDescent="0.15">
      <c r="E325" s="61"/>
      <c r="F325" s="61"/>
      <c r="G325" s="61"/>
      <c r="H325" s="61"/>
      <c r="I325" s="61"/>
    </row>
    <row r="326" spans="5:9" ht="13" x14ac:dyDescent="0.15">
      <c r="E326" s="61"/>
      <c r="F326" s="61"/>
      <c r="G326" s="61"/>
      <c r="H326" s="61"/>
      <c r="I326" s="61"/>
    </row>
    <row r="327" spans="5:9" ht="13" x14ac:dyDescent="0.15">
      <c r="E327" s="61"/>
      <c r="F327" s="61"/>
      <c r="G327" s="61"/>
      <c r="H327" s="61"/>
      <c r="I327" s="61"/>
    </row>
    <row r="328" spans="5:9" ht="13" x14ac:dyDescent="0.15">
      <c r="E328" s="61"/>
      <c r="F328" s="61"/>
      <c r="G328" s="61"/>
      <c r="H328" s="61"/>
      <c r="I328" s="61"/>
    </row>
    <row r="329" spans="5:9" ht="13" x14ac:dyDescent="0.15">
      <c r="E329" s="61"/>
      <c r="F329" s="61"/>
      <c r="G329" s="61"/>
      <c r="H329" s="61"/>
      <c r="I329" s="61"/>
    </row>
    <row r="330" spans="5:9" ht="13" x14ac:dyDescent="0.15">
      <c r="E330" s="61"/>
      <c r="F330" s="61"/>
      <c r="G330" s="61"/>
      <c r="H330" s="61"/>
      <c r="I330" s="61"/>
    </row>
    <row r="331" spans="5:9" ht="13" x14ac:dyDescent="0.15">
      <c r="E331" s="61"/>
      <c r="F331" s="61"/>
      <c r="G331" s="61"/>
      <c r="H331" s="61"/>
      <c r="I331" s="61"/>
    </row>
    <row r="332" spans="5:9" ht="13" x14ac:dyDescent="0.15">
      <c r="E332" s="61"/>
      <c r="F332" s="61"/>
      <c r="G332" s="61"/>
      <c r="H332" s="61"/>
      <c r="I332" s="61"/>
    </row>
    <row r="333" spans="5:9" ht="13" x14ac:dyDescent="0.15">
      <c r="E333" s="61"/>
      <c r="F333" s="61"/>
      <c r="G333" s="61"/>
      <c r="H333" s="61"/>
      <c r="I333" s="61"/>
    </row>
    <row r="334" spans="5:9" ht="13" x14ac:dyDescent="0.15">
      <c r="E334" s="61"/>
      <c r="F334" s="61"/>
      <c r="G334" s="61"/>
      <c r="H334" s="61"/>
      <c r="I334" s="61"/>
    </row>
    <row r="335" spans="5:9" ht="13" x14ac:dyDescent="0.15">
      <c r="E335" s="61"/>
      <c r="F335" s="61"/>
      <c r="G335" s="61"/>
      <c r="H335" s="61"/>
      <c r="I335" s="61"/>
    </row>
    <row r="336" spans="5:9" ht="13" x14ac:dyDescent="0.15">
      <c r="E336" s="61"/>
      <c r="F336" s="61"/>
      <c r="G336" s="61"/>
      <c r="H336" s="61"/>
      <c r="I336" s="61"/>
    </row>
    <row r="337" spans="5:9" ht="13" x14ac:dyDescent="0.15">
      <c r="E337" s="61"/>
      <c r="F337" s="61"/>
      <c r="G337" s="61"/>
      <c r="H337" s="61"/>
      <c r="I337" s="61"/>
    </row>
    <row r="338" spans="5:9" ht="13" x14ac:dyDescent="0.15">
      <c r="E338" s="61"/>
      <c r="F338" s="61"/>
      <c r="G338" s="61"/>
      <c r="H338" s="61"/>
      <c r="I338" s="61"/>
    </row>
    <row r="339" spans="5:9" ht="13" x14ac:dyDescent="0.15">
      <c r="E339" s="61"/>
      <c r="F339" s="61"/>
      <c r="G339" s="61"/>
      <c r="H339" s="61"/>
      <c r="I339" s="61"/>
    </row>
    <row r="340" spans="5:9" ht="13" x14ac:dyDescent="0.15">
      <c r="E340" s="61"/>
      <c r="F340" s="61"/>
      <c r="G340" s="61"/>
      <c r="H340" s="61"/>
      <c r="I340" s="61"/>
    </row>
    <row r="341" spans="5:9" ht="13" x14ac:dyDescent="0.15">
      <c r="E341" s="61"/>
      <c r="F341" s="61"/>
      <c r="G341" s="61"/>
      <c r="H341" s="61"/>
      <c r="I341" s="61"/>
    </row>
    <row r="342" spans="5:9" ht="13" x14ac:dyDescent="0.15">
      <c r="E342" s="61"/>
      <c r="F342" s="61"/>
      <c r="G342" s="61"/>
      <c r="H342" s="61"/>
      <c r="I342" s="61"/>
    </row>
    <row r="343" spans="5:9" ht="13" x14ac:dyDescent="0.15">
      <c r="E343" s="61"/>
      <c r="F343" s="61"/>
      <c r="G343" s="61"/>
      <c r="H343" s="61"/>
      <c r="I343" s="61"/>
    </row>
    <row r="344" spans="5:9" ht="13" x14ac:dyDescent="0.15">
      <c r="E344" s="61"/>
      <c r="F344" s="61"/>
      <c r="G344" s="61"/>
      <c r="H344" s="61"/>
      <c r="I344" s="61"/>
    </row>
    <row r="345" spans="5:9" ht="13" x14ac:dyDescent="0.15">
      <c r="E345" s="61"/>
      <c r="F345" s="61"/>
      <c r="G345" s="61"/>
      <c r="H345" s="61"/>
      <c r="I345" s="61"/>
    </row>
    <row r="346" spans="5:9" ht="13" x14ac:dyDescent="0.15">
      <c r="E346" s="61"/>
      <c r="F346" s="61"/>
      <c r="G346" s="61"/>
      <c r="H346" s="61"/>
      <c r="I346" s="61"/>
    </row>
    <row r="347" spans="5:9" ht="13" x14ac:dyDescent="0.15">
      <c r="E347" s="61"/>
      <c r="F347" s="61"/>
      <c r="G347" s="61"/>
      <c r="H347" s="61"/>
      <c r="I347" s="61"/>
    </row>
    <row r="348" spans="5:9" ht="13" x14ac:dyDescent="0.15">
      <c r="E348" s="61"/>
      <c r="F348" s="61"/>
      <c r="G348" s="61"/>
      <c r="H348" s="61"/>
      <c r="I348" s="61"/>
    </row>
    <row r="349" spans="5:9" ht="13" x14ac:dyDescent="0.15">
      <c r="E349" s="61"/>
      <c r="F349" s="61"/>
      <c r="G349" s="61"/>
      <c r="H349" s="61"/>
      <c r="I349" s="61"/>
    </row>
    <row r="350" spans="5:9" ht="13" x14ac:dyDescent="0.15">
      <c r="E350" s="61"/>
      <c r="F350" s="61"/>
      <c r="G350" s="61"/>
      <c r="H350" s="61"/>
      <c r="I350" s="61"/>
    </row>
    <row r="351" spans="5:9" ht="13" x14ac:dyDescent="0.15">
      <c r="E351" s="61"/>
      <c r="F351" s="61"/>
      <c r="G351" s="61"/>
      <c r="H351" s="61"/>
      <c r="I351" s="61"/>
    </row>
    <row r="352" spans="5:9" ht="13" x14ac:dyDescent="0.15">
      <c r="E352" s="61"/>
      <c r="F352" s="61"/>
      <c r="G352" s="61"/>
      <c r="H352" s="61"/>
      <c r="I352" s="61"/>
    </row>
    <row r="353" spans="5:9" ht="13" x14ac:dyDescent="0.15">
      <c r="E353" s="61"/>
      <c r="F353" s="61"/>
      <c r="G353" s="61"/>
      <c r="H353" s="61"/>
      <c r="I353" s="61"/>
    </row>
    <row r="354" spans="5:9" ht="13" x14ac:dyDescent="0.15">
      <c r="E354" s="61"/>
      <c r="F354" s="61"/>
      <c r="G354" s="61"/>
      <c r="H354" s="61"/>
      <c r="I354" s="61"/>
    </row>
    <row r="355" spans="5:9" ht="13" x14ac:dyDescent="0.15">
      <c r="E355" s="61"/>
      <c r="F355" s="61"/>
      <c r="G355" s="61"/>
      <c r="H355" s="61"/>
      <c r="I355" s="61"/>
    </row>
    <row r="356" spans="5:9" ht="13" x14ac:dyDescent="0.15">
      <c r="E356" s="61"/>
      <c r="F356" s="61"/>
      <c r="G356" s="61"/>
      <c r="H356" s="61"/>
      <c r="I356" s="61"/>
    </row>
    <row r="357" spans="5:9" ht="13" x14ac:dyDescent="0.15">
      <c r="E357" s="61"/>
      <c r="F357" s="61"/>
      <c r="G357" s="61"/>
      <c r="H357" s="61"/>
      <c r="I357" s="61"/>
    </row>
    <row r="358" spans="5:9" ht="13" x14ac:dyDescent="0.15">
      <c r="E358" s="61"/>
      <c r="F358" s="61"/>
      <c r="G358" s="61"/>
      <c r="H358" s="61"/>
      <c r="I358" s="61"/>
    </row>
    <row r="359" spans="5:9" ht="13" x14ac:dyDescent="0.15">
      <c r="E359" s="61"/>
      <c r="F359" s="61"/>
      <c r="G359" s="61"/>
      <c r="H359" s="61"/>
      <c r="I359" s="61"/>
    </row>
    <row r="360" spans="5:9" ht="13" x14ac:dyDescent="0.15">
      <c r="E360" s="61"/>
      <c r="F360" s="61"/>
      <c r="G360" s="61"/>
      <c r="H360" s="61"/>
      <c r="I360" s="61"/>
    </row>
    <row r="361" spans="5:9" ht="13" x14ac:dyDescent="0.15">
      <c r="E361" s="61"/>
      <c r="F361" s="61"/>
      <c r="G361" s="61"/>
      <c r="H361" s="61"/>
      <c r="I361" s="61"/>
    </row>
    <row r="362" spans="5:9" ht="13" x14ac:dyDescent="0.15">
      <c r="E362" s="61"/>
      <c r="F362" s="61"/>
      <c r="G362" s="61"/>
      <c r="H362" s="61"/>
      <c r="I362" s="61"/>
    </row>
    <row r="363" spans="5:9" ht="13" x14ac:dyDescent="0.15">
      <c r="E363" s="61"/>
      <c r="F363" s="61"/>
      <c r="G363" s="61"/>
      <c r="H363" s="61"/>
      <c r="I363" s="61"/>
    </row>
    <row r="364" spans="5:9" ht="13" x14ac:dyDescent="0.15">
      <c r="E364" s="61"/>
      <c r="F364" s="61"/>
      <c r="G364" s="61"/>
      <c r="H364" s="61"/>
      <c r="I364" s="61"/>
    </row>
    <row r="365" spans="5:9" ht="13" x14ac:dyDescent="0.15">
      <c r="E365" s="61"/>
      <c r="F365" s="61"/>
      <c r="G365" s="61"/>
      <c r="H365" s="61"/>
      <c r="I365" s="61"/>
    </row>
    <row r="366" spans="5:9" ht="13" x14ac:dyDescent="0.15">
      <c r="E366" s="61"/>
      <c r="F366" s="61"/>
      <c r="G366" s="61"/>
      <c r="H366" s="61"/>
      <c r="I366" s="61"/>
    </row>
    <row r="367" spans="5:9" ht="13" x14ac:dyDescent="0.15">
      <c r="E367" s="61"/>
      <c r="F367" s="61"/>
      <c r="G367" s="61"/>
      <c r="H367" s="61"/>
      <c r="I367" s="61"/>
    </row>
    <row r="368" spans="5:9" ht="13" x14ac:dyDescent="0.15">
      <c r="E368" s="61"/>
      <c r="F368" s="61"/>
      <c r="G368" s="61"/>
      <c r="H368" s="61"/>
      <c r="I368" s="61"/>
    </row>
    <row r="369" spans="5:9" ht="13" x14ac:dyDescent="0.15">
      <c r="E369" s="61"/>
      <c r="F369" s="61"/>
      <c r="G369" s="61"/>
      <c r="H369" s="61"/>
      <c r="I369" s="61"/>
    </row>
    <row r="370" spans="5:9" ht="13" x14ac:dyDescent="0.15">
      <c r="E370" s="61"/>
      <c r="F370" s="61"/>
      <c r="G370" s="61"/>
      <c r="H370" s="61"/>
      <c r="I370" s="61"/>
    </row>
    <row r="371" spans="5:9" ht="13" x14ac:dyDescent="0.15">
      <c r="E371" s="61"/>
      <c r="F371" s="61"/>
      <c r="G371" s="61"/>
      <c r="H371" s="61"/>
      <c r="I371" s="61"/>
    </row>
    <row r="372" spans="5:9" ht="13" x14ac:dyDescent="0.15">
      <c r="E372" s="61"/>
      <c r="F372" s="61"/>
      <c r="G372" s="61"/>
      <c r="H372" s="61"/>
      <c r="I372" s="61"/>
    </row>
    <row r="373" spans="5:9" ht="13" x14ac:dyDescent="0.15">
      <c r="E373" s="61"/>
      <c r="F373" s="61"/>
      <c r="G373" s="61"/>
      <c r="H373" s="61"/>
      <c r="I373" s="61"/>
    </row>
    <row r="374" spans="5:9" ht="13" x14ac:dyDescent="0.15">
      <c r="E374" s="61"/>
      <c r="F374" s="61"/>
      <c r="G374" s="61"/>
      <c r="H374" s="61"/>
      <c r="I374" s="61"/>
    </row>
    <row r="375" spans="5:9" ht="13" x14ac:dyDescent="0.15">
      <c r="E375" s="61"/>
      <c r="F375" s="61"/>
      <c r="G375" s="61"/>
      <c r="H375" s="61"/>
      <c r="I375" s="61"/>
    </row>
    <row r="376" spans="5:9" ht="13" x14ac:dyDescent="0.15">
      <c r="E376" s="61"/>
      <c r="F376" s="61"/>
      <c r="G376" s="61"/>
      <c r="H376" s="61"/>
      <c r="I376" s="61"/>
    </row>
    <row r="377" spans="5:9" ht="13" x14ac:dyDescent="0.15">
      <c r="E377" s="61"/>
      <c r="F377" s="61"/>
      <c r="G377" s="61"/>
      <c r="H377" s="61"/>
      <c r="I377" s="61"/>
    </row>
    <row r="378" spans="5:9" ht="13" x14ac:dyDescent="0.15">
      <c r="E378" s="61"/>
      <c r="F378" s="61"/>
      <c r="G378" s="61"/>
      <c r="H378" s="61"/>
      <c r="I378" s="61"/>
    </row>
    <row r="379" spans="5:9" ht="13" x14ac:dyDescent="0.15">
      <c r="E379" s="61"/>
      <c r="F379" s="61"/>
      <c r="G379" s="61"/>
      <c r="H379" s="61"/>
      <c r="I379" s="61"/>
    </row>
    <row r="380" spans="5:9" ht="13" x14ac:dyDescent="0.15">
      <c r="E380" s="61"/>
      <c r="F380" s="61"/>
      <c r="G380" s="61"/>
      <c r="H380" s="61"/>
      <c r="I380" s="61"/>
    </row>
    <row r="381" spans="5:9" ht="13" x14ac:dyDescent="0.15">
      <c r="E381" s="61"/>
      <c r="F381" s="61"/>
      <c r="G381" s="61"/>
      <c r="H381" s="61"/>
      <c r="I381" s="61"/>
    </row>
    <row r="382" spans="5:9" ht="13" x14ac:dyDescent="0.15">
      <c r="E382" s="61"/>
      <c r="F382" s="61"/>
      <c r="G382" s="61"/>
      <c r="H382" s="61"/>
      <c r="I382" s="61"/>
    </row>
    <row r="383" spans="5:9" ht="13" x14ac:dyDescent="0.15">
      <c r="E383" s="61"/>
      <c r="F383" s="61"/>
      <c r="G383" s="61"/>
      <c r="H383" s="61"/>
      <c r="I383" s="61"/>
    </row>
    <row r="384" spans="5:9" ht="13" x14ac:dyDescent="0.15">
      <c r="E384" s="61"/>
      <c r="F384" s="61"/>
      <c r="G384" s="61"/>
      <c r="H384" s="61"/>
      <c r="I384" s="61"/>
    </row>
    <row r="385" spans="5:9" ht="13" x14ac:dyDescent="0.15">
      <c r="E385" s="61"/>
      <c r="F385" s="61"/>
      <c r="G385" s="61"/>
      <c r="H385" s="61"/>
      <c r="I385" s="61"/>
    </row>
    <row r="386" spans="5:9" ht="13" x14ac:dyDescent="0.15">
      <c r="E386" s="61"/>
      <c r="F386" s="61"/>
      <c r="G386" s="61"/>
      <c r="H386" s="61"/>
      <c r="I386" s="61"/>
    </row>
    <row r="387" spans="5:9" ht="13" x14ac:dyDescent="0.15">
      <c r="E387" s="61"/>
      <c r="F387" s="61"/>
      <c r="G387" s="61"/>
      <c r="H387" s="61"/>
      <c r="I387" s="61"/>
    </row>
    <row r="388" spans="5:9" ht="13" x14ac:dyDescent="0.15">
      <c r="E388" s="61"/>
      <c r="F388" s="61"/>
      <c r="G388" s="61"/>
      <c r="H388" s="61"/>
      <c r="I388" s="61"/>
    </row>
    <row r="389" spans="5:9" ht="13" x14ac:dyDescent="0.15">
      <c r="E389" s="61"/>
      <c r="F389" s="61"/>
      <c r="G389" s="61"/>
      <c r="H389" s="61"/>
      <c r="I389" s="61"/>
    </row>
    <row r="390" spans="5:9" ht="13" x14ac:dyDescent="0.15">
      <c r="E390" s="61"/>
      <c r="F390" s="61"/>
      <c r="G390" s="61"/>
      <c r="H390" s="61"/>
      <c r="I390" s="61"/>
    </row>
    <row r="391" spans="5:9" ht="13" x14ac:dyDescent="0.15">
      <c r="E391" s="61"/>
      <c r="F391" s="61"/>
      <c r="G391" s="61"/>
      <c r="H391" s="61"/>
      <c r="I391" s="61"/>
    </row>
    <row r="392" spans="5:9" ht="13" x14ac:dyDescent="0.15">
      <c r="E392" s="61"/>
      <c r="F392" s="61"/>
      <c r="G392" s="61"/>
      <c r="H392" s="61"/>
      <c r="I392" s="61"/>
    </row>
    <row r="393" spans="5:9" ht="13" x14ac:dyDescent="0.15">
      <c r="E393" s="61"/>
      <c r="F393" s="61"/>
      <c r="G393" s="61"/>
      <c r="H393" s="61"/>
      <c r="I393" s="61"/>
    </row>
    <row r="394" spans="5:9" ht="13" x14ac:dyDescent="0.15">
      <c r="E394" s="61"/>
      <c r="F394" s="61"/>
      <c r="G394" s="61"/>
      <c r="H394" s="61"/>
      <c r="I394" s="61"/>
    </row>
    <row r="395" spans="5:9" ht="13" x14ac:dyDescent="0.15">
      <c r="E395" s="61"/>
      <c r="F395" s="61"/>
      <c r="G395" s="61"/>
      <c r="H395" s="61"/>
      <c r="I395" s="61"/>
    </row>
    <row r="396" spans="5:9" ht="13" x14ac:dyDescent="0.15">
      <c r="E396" s="61"/>
      <c r="F396" s="61"/>
      <c r="G396" s="61"/>
      <c r="H396" s="61"/>
      <c r="I396" s="61"/>
    </row>
    <row r="397" spans="5:9" ht="13" x14ac:dyDescent="0.15">
      <c r="E397" s="61"/>
      <c r="F397" s="61"/>
      <c r="G397" s="61"/>
      <c r="H397" s="61"/>
      <c r="I397" s="61"/>
    </row>
    <row r="398" spans="5:9" ht="13" x14ac:dyDescent="0.15">
      <c r="E398" s="61"/>
      <c r="F398" s="61"/>
      <c r="G398" s="61"/>
      <c r="H398" s="61"/>
      <c r="I398" s="61"/>
    </row>
    <row r="399" spans="5:9" ht="13" x14ac:dyDescent="0.15">
      <c r="E399" s="61"/>
      <c r="F399" s="61"/>
      <c r="G399" s="61"/>
      <c r="H399" s="61"/>
      <c r="I399" s="61"/>
    </row>
    <row r="400" spans="5:9" ht="13" x14ac:dyDescent="0.15">
      <c r="E400" s="61"/>
      <c r="F400" s="61"/>
      <c r="G400" s="61"/>
      <c r="H400" s="61"/>
      <c r="I400" s="61"/>
    </row>
    <row r="401" spans="5:9" ht="13" x14ac:dyDescent="0.15">
      <c r="E401" s="61"/>
      <c r="F401" s="61"/>
      <c r="G401" s="61"/>
      <c r="H401" s="61"/>
      <c r="I401" s="61"/>
    </row>
    <row r="402" spans="5:9" ht="13" x14ac:dyDescent="0.15">
      <c r="E402" s="61"/>
      <c r="F402" s="61"/>
      <c r="G402" s="61"/>
      <c r="H402" s="61"/>
      <c r="I402" s="61"/>
    </row>
    <row r="403" spans="5:9" ht="13" x14ac:dyDescent="0.15">
      <c r="E403" s="61"/>
      <c r="F403" s="61"/>
      <c r="G403" s="61"/>
      <c r="H403" s="61"/>
      <c r="I403" s="61"/>
    </row>
    <row r="404" spans="5:9" ht="13" x14ac:dyDescent="0.15">
      <c r="E404" s="61"/>
      <c r="F404" s="61"/>
      <c r="G404" s="61"/>
      <c r="H404" s="61"/>
      <c r="I404" s="61"/>
    </row>
    <row r="405" spans="5:9" ht="13" x14ac:dyDescent="0.15">
      <c r="E405" s="61"/>
      <c r="F405" s="61"/>
      <c r="G405" s="61"/>
      <c r="H405" s="61"/>
      <c r="I405" s="61"/>
    </row>
    <row r="406" spans="5:9" ht="13" x14ac:dyDescent="0.15">
      <c r="E406" s="61"/>
      <c r="F406" s="61"/>
      <c r="G406" s="61"/>
      <c r="H406" s="61"/>
      <c r="I406" s="61"/>
    </row>
    <row r="407" spans="5:9" ht="13" x14ac:dyDescent="0.15">
      <c r="E407" s="61"/>
      <c r="F407" s="61"/>
      <c r="G407" s="61"/>
      <c r="H407" s="61"/>
      <c r="I407" s="61"/>
    </row>
    <row r="408" spans="5:9" ht="13" x14ac:dyDescent="0.15">
      <c r="E408" s="61"/>
      <c r="F408" s="61"/>
      <c r="G408" s="61"/>
      <c r="H408" s="61"/>
      <c r="I408" s="61"/>
    </row>
    <row r="409" spans="5:9" ht="13" x14ac:dyDescent="0.15">
      <c r="E409" s="61"/>
      <c r="F409" s="61"/>
      <c r="G409" s="61"/>
      <c r="H409" s="61"/>
      <c r="I409" s="61"/>
    </row>
    <row r="410" spans="5:9" ht="13" x14ac:dyDescent="0.15">
      <c r="E410" s="61"/>
      <c r="F410" s="61"/>
      <c r="G410" s="61"/>
      <c r="H410" s="61"/>
      <c r="I410" s="61"/>
    </row>
    <row r="411" spans="5:9" ht="13" x14ac:dyDescent="0.15">
      <c r="E411" s="61"/>
      <c r="F411" s="61"/>
      <c r="G411" s="61"/>
      <c r="H411" s="61"/>
      <c r="I411" s="61"/>
    </row>
    <row r="412" spans="5:9" ht="13" x14ac:dyDescent="0.15">
      <c r="E412" s="61"/>
      <c r="F412" s="61"/>
      <c r="G412" s="61"/>
      <c r="H412" s="61"/>
      <c r="I412" s="61"/>
    </row>
    <row r="413" spans="5:9" ht="13" x14ac:dyDescent="0.15">
      <c r="E413" s="61"/>
      <c r="F413" s="61"/>
      <c r="G413" s="61"/>
      <c r="H413" s="61"/>
      <c r="I413" s="61"/>
    </row>
    <row r="414" spans="5:9" ht="13" x14ac:dyDescent="0.15">
      <c r="E414" s="61"/>
      <c r="F414" s="61"/>
      <c r="G414" s="61"/>
      <c r="H414" s="61"/>
      <c r="I414" s="61"/>
    </row>
    <row r="415" spans="5:9" ht="13" x14ac:dyDescent="0.15">
      <c r="E415" s="61"/>
      <c r="F415" s="61"/>
      <c r="G415" s="61"/>
      <c r="H415" s="61"/>
      <c r="I415" s="61"/>
    </row>
    <row r="416" spans="5:9" ht="13" x14ac:dyDescent="0.15">
      <c r="E416" s="61"/>
      <c r="F416" s="61"/>
      <c r="G416" s="61"/>
      <c r="H416" s="61"/>
      <c r="I416" s="61"/>
    </row>
    <row r="417" spans="5:9" ht="13" x14ac:dyDescent="0.15">
      <c r="E417" s="61"/>
      <c r="F417" s="61"/>
      <c r="G417" s="61"/>
      <c r="H417" s="61"/>
      <c r="I417" s="61"/>
    </row>
    <row r="418" spans="5:9" ht="13" x14ac:dyDescent="0.15">
      <c r="E418" s="61"/>
      <c r="F418" s="61"/>
      <c r="G418" s="61"/>
      <c r="H418" s="61"/>
      <c r="I418" s="61"/>
    </row>
    <row r="419" spans="5:9" ht="13" x14ac:dyDescent="0.15">
      <c r="E419" s="61"/>
      <c r="F419" s="61"/>
      <c r="G419" s="61"/>
      <c r="H419" s="61"/>
      <c r="I419" s="61"/>
    </row>
    <row r="420" spans="5:9" ht="13" x14ac:dyDescent="0.15">
      <c r="E420" s="61"/>
      <c r="F420" s="61"/>
      <c r="G420" s="61"/>
      <c r="H420" s="61"/>
      <c r="I420" s="61"/>
    </row>
    <row r="421" spans="5:9" ht="13" x14ac:dyDescent="0.15">
      <c r="E421" s="61"/>
      <c r="F421" s="61"/>
      <c r="G421" s="61"/>
      <c r="H421" s="61"/>
      <c r="I421" s="61"/>
    </row>
    <row r="422" spans="5:9" ht="13" x14ac:dyDescent="0.15">
      <c r="E422" s="61"/>
      <c r="F422" s="61"/>
      <c r="G422" s="61"/>
      <c r="H422" s="61"/>
      <c r="I422" s="61"/>
    </row>
    <row r="423" spans="5:9" ht="13" x14ac:dyDescent="0.15">
      <c r="E423" s="61"/>
      <c r="F423" s="61"/>
      <c r="G423" s="61"/>
      <c r="H423" s="61"/>
      <c r="I423" s="61"/>
    </row>
    <row r="424" spans="5:9" ht="13" x14ac:dyDescent="0.15">
      <c r="E424" s="61"/>
      <c r="F424" s="61"/>
      <c r="G424" s="61"/>
      <c r="H424" s="61"/>
      <c r="I424" s="61"/>
    </row>
    <row r="425" spans="5:9" ht="13" x14ac:dyDescent="0.15">
      <c r="E425" s="61"/>
      <c r="F425" s="61"/>
      <c r="G425" s="61"/>
      <c r="H425" s="61"/>
      <c r="I425" s="61"/>
    </row>
    <row r="426" spans="5:9" ht="13" x14ac:dyDescent="0.15">
      <c r="E426" s="61"/>
      <c r="F426" s="61"/>
      <c r="G426" s="61"/>
      <c r="H426" s="61"/>
      <c r="I426" s="61"/>
    </row>
    <row r="427" spans="5:9" ht="13" x14ac:dyDescent="0.15">
      <c r="E427" s="61"/>
      <c r="F427" s="61"/>
      <c r="G427" s="61"/>
      <c r="H427" s="61"/>
      <c r="I427" s="61"/>
    </row>
    <row r="428" spans="5:9" ht="13" x14ac:dyDescent="0.15">
      <c r="E428" s="61"/>
      <c r="F428" s="61"/>
      <c r="G428" s="61"/>
      <c r="H428" s="61"/>
      <c r="I428" s="61"/>
    </row>
    <row r="429" spans="5:9" ht="13" x14ac:dyDescent="0.15">
      <c r="E429" s="61"/>
      <c r="F429" s="61"/>
      <c r="G429" s="61"/>
      <c r="H429" s="61"/>
      <c r="I429" s="61"/>
    </row>
    <row r="430" spans="5:9" ht="13" x14ac:dyDescent="0.15">
      <c r="E430" s="61"/>
      <c r="F430" s="61"/>
      <c r="G430" s="61"/>
      <c r="H430" s="61"/>
      <c r="I430" s="61"/>
    </row>
    <row r="431" spans="5:9" ht="13" x14ac:dyDescent="0.15">
      <c r="E431" s="61"/>
      <c r="F431" s="61"/>
      <c r="G431" s="61"/>
      <c r="H431" s="61"/>
      <c r="I431" s="61"/>
    </row>
    <row r="432" spans="5:9" ht="13" x14ac:dyDescent="0.15">
      <c r="E432" s="61"/>
      <c r="F432" s="61"/>
      <c r="G432" s="61"/>
      <c r="H432" s="61"/>
      <c r="I432" s="61"/>
    </row>
    <row r="433" spans="5:9" ht="13" x14ac:dyDescent="0.15">
      <c r="E433" s="61"/>
      <c r="F433" s="61"/>
      <c r="G433" s="61"/>
      <c r="H433" s="61"/>
      <c r="I433" s="61"/>
    </row>
    <row r="434" spans="5:9" ht="13" x14ac:dyDescent="0.15">
      <c r="E434" s="61"/>
      <c r="F434" s="61"/>
      <c r="G434" s="61"/>
      <c r="H434" s="61"/>
      <c r="I434" s="61"/>
    </row>
    <row r="435" spans="5:9" ht="13" x14ac:dyDescent="0.15">
      <c r="E435" s="61"/>
      <c r="F435" s="61"/>
      <c r="G435" s="61"/>
      <c r="H435" s="61"/>
      <c r="I435" s="61"/>
    </row>
    <row r="436" spans="5:9" ht="13" x14ac:dyDescent="0.15">
      <c r="E436" s="61"/>
      <c r="F436" s="61"/>
      <c r="G436" s="61"/>
      <c r="H436" s="61"/>
      <c r="I436" s="61"/>
    </row>
    <row r="437" spans="5:9" ht="13" x14ac:dyDescent="0.15">
      <c r="E437" s="61"/>
      <c r="F437" s="61"/>
      <c r="G437" s="61"/>
      <c r="H437" s="61"/>
      <c r="I437" s="61"/>
    </row>
    <row r="438" spans="5:9" ht="13" x14ac:dyDescent="0.15">
      <c r="E438" s="61"/>
      <c r="F438" s="61"/>
      <c r="G438" s="61"/>
      <c r="H438" s="61"/>
      <c r="I438" s="61"/>
    </row>
    <row r="439" spans="5:9" ht="13" x14ac:dyDescent="0.15">
      <c r="E439" s="61"/>
      <c r="F439" s="61"/>
      <c r="G439" s="61"/>
      <c r="H439" s="61"/>
      <c r="I439" s="61"/>
    </row>
    <row r="440" spans="5:9" ht="13" x14ac:dyDescent="0.15">
      <c r="E440" s="61"/>
      <c r="F440" s="61"/>
      <c r="G440" s="61"/>
      <c r="H440" s="61"/>
      <c r="I440" s="61"/>
    </row>
    <row r="441" spans="5:9" ht="13" x14ac:dyDescent="0.15">
      <c r="E441" s="61"/>
      <c r="F441" s="61"/>
      <c r="G441" s="61"/>
      <c r="H441" s="61"/>
      <c r="I441" s="61"/>
    </row>
    <row r="442" spans="5:9" ht="13" x14ac:dyDescent="0.15">
      <c r="E442" s="61"/>
      <c r="F442" s="61"/>
      <c r="G442" s="61"/>
      <c r="H442" s="61"/>
      <c r="I442" s="61"/>
    </row>
    <row r="443" spans="5:9" ht="13" x14ac:dyDescent="0.15">
      <c r="E443" s="61"/>
      <c r="F443" s="61"/>
      <c r="G443" s="61"/>
      <c r="H443" s="61"/>
      <c r="I443" s="61"/>
    </row>
    <row r="444" spans="5:9" ht="13" x14ac:dyDescent="0.15">
      <c r="E444" s="61"/>
      <c r="F444" s="61"/>
      <c r="G444" s="61"/>
      <c r="H444" s="61"/>
      <c r="I444" s="61"/>
    </row>
    <row r="445" spans="5:9" ht="13" x14ac:dyDescent="0.15">
      <c r="E445" s="61"/>
      <c r="F445" s="61"/>
      <c r="G445" s="61"/>
      <c r="H445" s="61"/>
      <c r="I445" s="61"/>
    </row>
    <row r="446" spans="5:9" ht="13" x14ac:dyDescent="0.15">
      <c r="E446" s="61"/>
      <c r="F446" s="61"/>
      <c r="G446" s="61"/>
      <c r="H446" s="61"/>
      <c r="I446" s="61"/>
    </row>
    <row r="447" spans="5:9" ht="13" x14ac:dyDescent="0.15">
      <c r="E447" s="61"/>
      <c r="F447" s="61"/>
      <c r="G447" s="61"/>
      <c r="H447" s="61"/>
      <c r="I447" s="61"/>
    </row>
    <row r="448" spans="5:9" ht="13" x14ac:dyDescent="0.15">
      <c r="E448" s="61"/>
      <c r="F448" s="61"/>
      <c r="G448" s="61"/>
      <c r="H448" s="61"/>
      <c r="I448" s="61"/>
    </row>
    <row r="449" spans="5:9" ht="13" x14ac:dyDescent="0.15">
      <c r="E449" s="61"/>
      <c r="F449" s="61"/>
      <c r="G449" s="61"/>
      <c r="H449" s="61"/>
      <c r="I449" s="61"/>
    </row>
    <row r="450" spans="5:9" ht="13" x14ac:dyDescent="0.15">
      <c r="E450" s="61"/>
      <c r="F450" s="61"/>
      <c r="G450" s="61"/>
      <c r="H450" s="61"/>
      <c r="I450" s="61"/>
    </row>
    <row r="451" spans="5:9" ht="13" x14ac:dyDescent="0.15">
      <c r="E451" s="61"/>
      <c r="F451" s="61"/>
      <c r="G451" s="61"/>
      <c r="H451" s="61"/>
      <c r="I451" s="61"/>
    </row>
    <row r="452" spans="5:9" ht="13" x14ac:dyDescent="0.15">
      <c r="E452" s="61"/>
      <c r="F452" s="61"/>
      <c r="G452" s="61"/>
      <c r="H452" s="61"/>
      <c r="I452" s="61"/>
    </row>
    <row r="453" spans="5:9" ht="13" x14ac:dyDescent="0.15">
      <c r="E453" s="61"/>
      <c r="F453" s="61"/>
      <c r="G453" s="61"/>
      <c r="H453" s="61"/>
      <c r="I453" s="61"/>
    </row>
    <row r="454" spans="5:9" ht="13" x14ac:dyDescent="0.15">
      <c r="E454" s="61"/>
      <c r="F454" s="61"/>
      <c r="G454" s="61"/>
      <c r="H454" s="61"/>
      <c r="I454" s="61"/>
    </row>
    <row r="455" spans="5:9" ht="13" x14ac:dyDescent="0.15">
      <c r="E455" s="61"/>
      <c r="F455" s="61"/>
      <c r="G455" s="61"/>
      <c r="H455" s="61"/>
      <c r="I455" s="61"/>
    </row>
    <row r="456" spans="5:9" ht="13" x14ac:dyDescent="0.15">
      <c r="E456" s="61"/>
      <c r="F456" s="61"/>
      <c r="G456" s="61"/>
      <c r="H456" s="61"/>
      <c r="I456" s="61"/>
    </row>
    <row r="457" spans="5:9" ht="13" x14ac:dyDescent="0.15">
      <c r="E457" s="61"/>
      <c r="F457" s="61"/>
      <c r="G457" s="61"/>
      <c r="H457" s="61"/>
      <c r="I457" s="61"/>
    </row>
    <row r="458" spans="5:9" ht="13" x14ac:dyDescent="0.15">
      <c r="E458" s="61"/>
      <c r="F458" s="61"/>
      <c r="G458" s="61"/>
      <c r="H458" s="61"/>
      <c r="I458" s="61"/>
    </row>
    <row r="459" spans="5:9" ht="13" x14ac:dyDescent="0.15">
      <c r="E459" s="61"/>
      <c r="F459" s="61"/>
      <c r="G459" s="61"/>
      <c r="H459" s="61"/>
      <c r="I459" s="61"/>
    </row>
    <row r="460" spans="5:9" ht="13" x14ac:dyDescent="0.15">
      <c r="E460" s="61"/>
      <c r="F460" s="61"/>
      <c r="G460" s="61"/>
      <c r="H460" s="61"/>
      <c r="I460" s="61"/>
    </row>
    <row r="461" spans="5:9" ht="13" x14ac:dyDescent="0.15">
      <c r="E461" s="61"/>
      <c r="F461" s="61"/>
      <c r="G461" s="61"/>
      <c r="H461" s="61"/>
      <c r="I461" s="61"/>
    </row>
    <row r="462" spans="5:9" ht="13" x14ac:dyDescent="0.15">
      <c r="E462" s="61"/>
      <c r="F462" s="61"/>
      <c r="G462" s="61"/>
      <c r="H462" s="61"/>
      <c r="I462" s="61"/>
    </row>
    <row r="463" spans="5:9" ht="13" x14ac:dyDescent="0.15">
      <c r="E463" s="61"/>
      <c r="F463" s="61"/>
      <c r="G463" s="61"/>
      <c r="H463" s="61"/>
      <c r="I463" s="61"/>
    </row>
    <row r="464" spans="5:9" ht="13" x14ac:dyDescent="0.15">
      <c r="E464" s="61"/>
      <c r="F464" s="61"/>
      <c r="G464" s="61"/>
      <c r="H464" s="61"/>
      <c r="I464" s="61"/>
    </row>
    <row r="465" spans="5:9" ht="13" x14ac:dyDescent="0.15">
      <c r="E465" s="61"/>
      <c r="F465" s="61"/>
      <c r="G465" s="61"/>
      <c r="H465" s="61"/>
      <c r="I465" s="61"/>
    </row>
    <row r="466" spans="5:9" ht="13" x14ac:dyDescent="0.15">
      <c r="E466" s="61"/>
      <c r="F466" s="61"/>
      <c r="G466" s="61"/>
      <c r="H466" s="61"/>
      <c r="I466" s="61"/>
    </row>
    <row r="467" spans="5:9" ht="13" x14ac:dyDescent="0.15">
      <c r="E467" s="61"/>
      <c r="F467" s="61"/>
      <c r="G467" s="61"/>
      <c r="H467" s="61"/>
      <c r="I467" s="61"/>
    </row>
    <row r="468" spans="5:9" ht="13" x14ac:dyDescent="0.15">
      <c r="E468" s="61"/>
      <c r="F468" s="61"/>
      <c r="G468" s="61"/>
      <c r="H468" s="61"/>
      <c r="I468" s="61"/>
    </row>
    <row r="469" spans="5:9" ht="13" x14ac:dyDescent="0.15">
      <c r="E469" s="61"/>
      <c r="F469" s="61"/>
      <c r="G469" s="61"/>
      <c r="H469" s="61"/>
      <c r="I469" s="61"/>
    </row>
    <row r="470" spans="5:9" ht="13" x14ac:dyDescent="0.15">
      <c r="E470" s="61"/>
      <c r="F470" s="61"/>
      <c r="G470" s="61"/>
      <c r="H470" s="61"/>
      <c r="I470" s="61"/>
    </row>
    <row r="471" spans="5:9" ht="13" x14ac:dyDescent="0.15">
      <c r="E471" s="61"/>
      <c r="F471" s="61"/>
      <c r="G471" s="61"/>
      <c r="H471" s="61"/>
      <c r="I471" s="61"/>
    </row>
    <row r="472" spans="5:9" ht="13" x14ac:dyDescent="0.15">
      <c r="E472" s="61"/>
      <c r="F472" s="61"/>
      <c r="G472" s="61"/>
      <c r="H472" s="61"/>
      <c r="I472" s="61"/>
    </row>
    <row r="473" spans="5:9" ht="13" x14ac:dyDescent="0.15">
      <c r="E473" s="61"/>
      <c r="F473" s="61"/>
      <c r="G473" s="61"/>
      <c r="H473" s="61"/>
      <c r="I473" s="61"/>
    </row>
    <row r="474" spans="5:9" ht="13" x14ac:dyDescent="0.15">
      <c r="E474" s="61"/>
      <c r="F474" s="61"/>
      <c r="G474" s="61"/>
      <c r="H474" s="61"/>
      <c r="I474" s="61"/>
    </row>
    <row r="475" spans="5:9" ht="13" x14ac:dyDescent="0.15">
      <c r="E475" s="61"/>
      <c r="F475" s="61"/>
      <c r="G475" s="61"/>
      <c r="H475" s="61"/>
      <c r="I475" s="61"/>
    </row>
    <row r="476" spans="5:9" ht="13" x14ac:dyDescent="0.15">
      <c r="E476" s="61"/>
      <c r="F476" s="61"/>
      <c r="G476" s="61"/>
      <c r="H476" s="61"/>
      <c r="I476" s="61"/>
    </row>
    <row r="477" spans="5:9" ht="13" x14ac:dyDescent="0.15">
      <c r="E477" s="61"/>
      <c r="F477" s="61"/>
      <c r="G477" s="61"/>
      <c r="H477" s="61"/>
      <c r="I477" s="61"/>
    </row>
    <row r="478" spans="5:9" ht="13" x14ac:dyDescent="0.15">
      <c r="E478" s="61"/>
      <c r="F478" s="61"/>
      <c r="G478" s="61"/>
      <c r="H478" s="61"/>
      <c r="I478" s="61"/>
    </row>
    <row r="479" spans="5:9" ht="13" x14ac:dyDescent="0.15">
      <c r="E479" s="61"/>
      <c r="F479" s="61"/>
      <c r="G479" s="61"/>
      <c r="H479" s="61"/>
      <c r="I479" s="61"/>
    </row>
    <row r="480" spans="5:9" ht="13" x14ac:dyDescent="0.15">
      <c r="E480" s="61"/>
      <c r="F480" s="61"/>
      <c r="G480" s="61"/>
      <c r="H480" s="61"/>
      <c r="I480" s="61"/>
    </row>
    <row r="481" spans="5:9" ht="13" x14ac:dyDescent="0.15">
      <c r="E481" s="61"/>
      <c r="F481" s="61"/>
      <c r="G481" s="61"/>
      <c r="H481" s="61"/>
      <c r="I481" s="61"/>
    </row>
    <row r="482" spans="5:9" ht="13" x14ac:dyDescent="0.15">
      <c r="E482" s="61"/>
      <c r="F482" s="61"/>
      <c r="G482" s="61"/>
      <c r="H482" s="61"/>
      <c r="I482" s="61"/>
    </row>
    <row r="483" spans="5:9" ht="13" x14ac:dyDescent="0.15">
      <c r="E483" s="61"/>
      <c r="F483" s="61"/>
      <c r="G483" s="61"/>
      <c r="H483" s="61"/>
      <c r="I483" s="61"/>
    </row>
    <row r="484" spans="5:9" ht="13" x14ac:dyDescent="0.15">
      <c r="E484" s="61"/>
      <c r="F484" s="61"/>
      <c r="G484" s="61"/>
      <c r="H484" s="61"/>
      <c r="I484" s="61"/>
    </row>
    <row r="485" spans="5:9" ht="13" x14ac:dyDescent="0.15">
      <c r="E485" s="61"/>
      <c r="F485" s="61"/>
      <c r="G485" s="61"/>
      <c r="H485" s="61"/>
      <c r="I485" s="61"/>
    </row>
    <row r="486" spans="5:9" ht="13" x14ac:dyDescent="0.15">
      <c r="E486" s="61"/>
      <c r="F486" s="61"/>
      <c r="G486" s="61"/>
      <c r="H486" s="61"/>
      <c r="I486" s="61"/>
    </row>
    <row r="487" spans="5:9" ht="13" x14ac:dyDescent="0.15">
      <c r="E487" s="61"/>
      <c r="F487" s="61"/>
      <c r="G487" s="61"/>
      <c r="H487" s="61"/>
      <c r="I487" s="61"/>
    </row>
    <row r="488" spans="5:9" ht="13" x14ac:dyDescent="0.15">
      <c r="E488" s="61"/>
      <c r="F488" s="61"/>
      <c r="G488" s="61"/>
      <c r="H488" s="61"/>
      <c r="I488" s="61"/>
    </row>
    <row r="489" spans="5:9" ht="13" x14ac:dyDescent="0.15">
      <c r="E489" s="61"/>
      <c r="F489" s="61"/>
      <c r="G489" s="61"/>
      <c r="H489" s="61"/>
      <c r="I489" s="61"/>
    </row>
    <row r="490" spans="5:9" ht="13" x14ac:dyDescent="0.15">
      <c r="E490" s="61"/>
      <c r="F490" s="61"/>
      <c r="G490" s="61"/>
      <c r="H490" s="61"/>
      <c r="I490" s="61"/>
    </row>
    <row r="491" spans="5:9" ht="13" x14ac:dyDescent="0.15">
      <c r="E491" s="61"/>
      <c r="F491" s="61"/>
      <c r="G491" s="61"/>
      <c r="H491" s="61"/>
      <c r="I491" s="61"/>
    </row>
    <row r="492" spans="5:9" ht="13" x14ac:dyDescent="0.15">
      <c r="E492" s="61"/>
      <c r="F492" s="61"/>
      <c r="G492" s="61"/>
      <c r="H492" s="61"/>
      <c r="I492" s="61"/>
    </row>
    <row r="493" spans="5:9" ht="13" x14ac:dyDescent="0.15">
      <c r="E493" s="61"/>
      <c r="F493" s="61"/>
      <c r="G493" s="61"/>
      <c r="H493" s="61"/>
      <c r="I493" s="61"/>
    </row>
    <row r="494" spans="5:9" ht="13" x14ac:dyDescent="0.15">
      <c r="E494" s="61"/>
      <c r="F494" s="61"/>
      <c r="G494" s="61"/>
      <c r="H494" s="61"/>
      <c r="I494" s="61"/>
    </row>
    <row r="495" spans="5:9" ht="13" x14ac:dyDescent="0.15">
      <c r="E495" s="61"/>
      <c r="F495" s="61"/>
      <c r="G495" s="61"/>
      <c r="H495" s="61"/>
      <c r="I495" s="61"/>
    </row>
    <row r="496" spans="5:9" ht="13" x14ac:dyDescent="0.15">
      <c r="E496" s="61"/>
      <c r="F496" s="61"/>
      <c r="G496" s="61"/>
      <c r="H496" s="61"/>
      <c r="I496" s="61"/>
    </row>
    <row r="497" spans="5:9" ht="13" x14ac:dyDescent="0.15">
      <c r="E497" s="61"/>
      <c r="F497" s="61"/>
      <c r="G497" s="61"/>
      <c r="H497" s="61"/>
      <c r="I497" s="61"/>
    </row>
    <row r="498" spans="5:9" ht="13" x14ac:dyDescent="0.15">
      <c r="E498" s="61"/>
      <c r="F498" s="61"/>
      <c r="G498" s="61"/>
      <c r="H498" s="61"/>
      <c r="I498" s="61"/>
    </row>
    <row r="499" spans="5:9" ht="13" x14ac:dyDescent="0.15">
      <c r="E499" s="61"/>
      <c r="F499" s="61"/>
      <c r="G499" s="61"/>
      <c r="H499" s="61"/>
      <c r="I499" s="61"/>
    </row>
    <row r="500" spans="5:9" ht="13" x14ac:dyDescent="0.15">
      <c r="E500" s="61"/>
      <c r="F500" s="61"/>
      <c r="G500" s="61"/>
      <c r="H500" s="61"/>
      <c r="I500" s="61"/>
    </row>
    <row r="501" spans="5:9" ht="13" x14ac:dyDescent="0.15">
      <c r="E501" s="61"/>
      <c r="F501" s="61"/>
      <c r="G501" s="61"/>
      <c r="H501" s="61"/>
      <c r="I501" s="61"/>
    </row>
    <row r="502" spans="5:9" ht="13" x14ac:dyDescent="0.15">
      <c r="E502" s="61"/>
      <c r="F502" s="61"/>
      <c r="G502" s="61"/>
      <c r="H502" s="61"/>
      <c r="I502" s="61"/>
    </row>
    <row r="503" spans="5:9" ht="13" x14ac:dyDescent="0.15">
      <c r="E503" s="61"/>
      <c r="F503" s="61"/>
      <c r="G503" s="61"/>
      <c r="H503" s="61"/>
      <c r="I503" s="61"/>
    </row>
    <row r="504" spans="5:9" ht="13" x14ac:dyDescent="0.15">
      <c r="E504" s="61"/>
      <c r="F504" s="61"/>
      <c r="G504" s="61"/>
      <c r="H504" s="61"/>
      <c r="I504" s="61"/>
    </row>
    <row r="505" spans="5:9" ht="13" x14ac:dyDescent="0.15">
      <c r="E505" s="61"/>
      <c r="F505" s="61"/>
      <c r="G505" s="61"/>
      <c r="H505" s="61"/>
      <c r="I505" s="61"/>
    </row>
    <row r="506" spans="5:9" ht="13" x14ac:dyDescent="0.15">
      <c r="E506" s="61"/>
      <c r="F506" s="61"/>
      <c r="G506" s="61"/>
      <c r="H506" s="61"/>
      <c r="I506" s="61"/>
    </row>
    <row r="507" spans="5:9" ht="13" x14ac:dyDescent="0.15">
      <c r="E507" s="61"/>
      <c r="F507" s="61"/>
      <c r="G507" s="61"/>
      <c r="H507" s="61"/>
      <c r="I507" s="61"/>
    </row>
    <row r="508" spans="5:9" ht="13" x14ac:dyDescent="0.15">
      <c r="E508" s="61"/>
      <c r="F508" s="61"/>
      <c r="G508" s="61"/>
      <c r="H508" s="61"/>
      <c r="I508" s="61"/>
    </row>
    <row r="509" spans="5:9" ht="13" x14ac:dyDescent="0.15">
      <c r="E509" s="61"/>
      <c r="F509" s="61"/>
      <c r="G509" s="61"/>
      <c r="H509" s="61"/>
      <c r="I509" s="61"/>
    </row>
    <row r="510" spans="5:9" ht="13" x14ac:dyDescent="0.15">
      <c r="E510" s="61"/>
      <c r="F510" s="61"/>
      <c r="G510" s="61"/>
      <c r="H510" s="61"/>
      <c r="I510" s="61"/>
    </row>
    <row r="511" spans="5:9" ht="13" x14ac:dyDescent="0.15">
      <c r="E511" s="61"/>
      <c r="F511" s="61"/>
      <c r="G511" s="61"/>
      <c r="H511" s="61"/>
      <c r="I511" s="61"/>
    </row>
    <row r="512" spans="5:9" ht="13" x14ac:dyDescent="0.15">
      <c r="E512" s="61"/>
      <c r="F512" s="61"/>
      <c r="G512" s="61"/>
      <c r="H512" s="61"/>
      <c r="I512" s="61"/>
    </row>
    <row r="513" spans="5:9" ht="13" x14ac:dyDescent="0.15">
      <c r="E513" s="61"/>
      <c r="F513" s="61"/>
      <c r="G513" s="61"/>
      <c r="H513" s="61"/>
      <c r="I513" s="61"/>
    </row>
    <row r="514" spans="5:9" ht="13" x14ac:dyDescent="0.15">
      <c r="E514" s="61"/>
      <c r="F514" s="61"/>
      <c r="G514" s="61"/>
      <c r="H514" s="61"/>
      <c r="I514" s="61"/>
    </row>
    <row r="515" spans="5:9" ht="13" x14ac:dyDescent="0.15">
      <c r="E515" s="61"/>
      <c r="F515" s="61"/>
      <c r="G515" s="61"/>
      <c r="H515" s="61"/>
      <c r="I515" s="61"/>
    </row>
    <row r="516" spans="5:9" ht="13" x14ac:dyDescent="0.15">
      <c r="E516" s="61"/>
      <c r="F516" s="61"/>
      <c r="G516" s="61"/>
      <c r="H516" s="61"/>
      <c r="I516" s="61"/>
    </row>
    <row r="517" spans="5:9" ht="13" x14ac:dyDescent="0.15">
      <c r="E517" s="61"/>
      <c r="F517" s="61"/>
      <c r="G517" s="61"/>
      <c r="H517" s="61"/>
      <c r="I517" s="61"/>
    </row>
    <row r="518" spans="5:9" ht="13" x14ac:dyDescent="0.15">
      <c r="E518" s="61"/>
      <c r="F518" s="61"/>
      <c r="G518" s="61"/>
      <c r="H518" s="61"/>
      <c r="I518" s="61"/>
    </row>
    <row r="519" spans="5:9" ht="13" x14ac:dyDescent="0.15">
      <c r="E519" s="61"/>
      <c r="F519" s="61"/>
      <c r="G519" s="61"/>
      <c r="H519" s="61"/>
      <c r="I519" s="61"/>
    </row>
    <row r="520" spans="5:9" ht="13" x14ac:dyDescent="0.15">
      <c r="E520" s="61"/>
      <c r="F520" s="61"/>
      <c r="G520" s="61"/>
      <c r="H520" s="61"/>
      <c r="I520" s="61"/>
    </row>
    <row r="521" spans="5:9" ht="13" x14ac:dyDescent="0.15">
      <c r="E521" s="61"/>
      <c r="F521" s="61"/>
      <c r="G521" s="61"/>
      <c r="H521" s="61"/>
      <c r="I521" s="61"/>
    </row>
    <row r="522" spans="5:9" ht="13" x14ac:dyDescent="0.15">
      <c r="E522" s="61"/>
      <c r="F522" s="61"/>
      <c r="G522" s="61"/>
      <c r="H522" s="61"/>
      <c r="I522" s="61"/>
    </row>
    <row r="523" spans="5:9" ht="13" x14ac:dyDescent="0.15">
      <c r="E523" s="61"/>
      <c r="F523" s="61"/>
      <c r="G523" s="61"/>
      <c r="H523" s="61"/>
      <c r="I523" s="61"/>
    </row>
    <row r="524" spans="5:9" ht="13" x14ac:dyDescent="0.15">
      <c r="E524" s="61"/>
      <c r="F524" s="61"/>
      <c r="G524" s="61"/>
      <c r="H524" s="61"/>
      <c r="I524" s="61"/>
    </row>
    <row r="525" spans="5:9" ht="13" x14ac:dyDescent="0.15">
      <c r="E525" s="61"/>
      <c r="F525" s="61"/>
      <c r="G525" s="61"/>
      <c r="H525" s="61"/>
      <c r="I525" s="61"/>
    </row>
    <row r="526" spans="5:9" ht="13" x14ac:dyDescent="0.15">
      <c r="E526" s="61"/>
      <c r="F526" s="61"/>
      <c r="G526" s="61"/>
      <c r="H526" s="61"/>
      <c r="I526" s="61"/>
    </row>
    <row r="527" spans="5:9" ht="13" x14ac:dyDescent="0.15">
      <c r="E527" s="61"/>
      <c r="F527" s="61"/>
      <c r="G527" s="61"/>
      <c r="H527" s="61"/>
      <c r="I527" s="61"/>
    </row>
    <row r="528" spans="5:9" ht="13" x14ac:dyDescent="0.15">
      <c r="E528" s="61"/>
      <c r="F528" s="61"/>
      <c r="G528" s="61"/>
      <c r="H528" s="61"/>
      <c r="I528" s="61"/>
    </row>
    <row r="529" spans="5:9" ht="13" x14ac:dyDescent="0.15">
      <c r="E529" s="61"/>
      <c r="F529" s="61"/>
      <c r="G529" s="61"/>
      <c r="H529" s="61"/>
      <c r="I529" s="61"/>
    </row>
    <row r="530" spans="5:9" ht="13" x14ac:dyDescent="0.15">
      <c r="E530" s="61"/>
      <c r="F530" s="61"/>
      <c r="G530" s="61"/>
      <c r="H530" s="61"/>
      <c r="I530" s="61"/>
    </row>
    <row r="531" spans="5:9" ht="13" x14ac:dyDescent="0.15">
      <c r="E531" s="61"/>
      <c r="F531" s="61"/>
      <c r="G531" s="61"/>
      <c r="H531" s="61"/>
      <c r="I531" s="61"/>
    </row>
    <row r="532" spans="5:9" ht="13" x14ac:dyDescent="0.15">
      <c r="E532" s="61"/>
      <c r="F532" s="61"/>
      <c r="G532" s="61"/>
      <c r="H532" s="61"/>
      <c r="I532" s="61"/>
    </row>
    <row r="533" spans="5:9" ht="13" x14ac:dyDescent="0.15">
      <c r="E533" s="61"/>
      <c r="F533" s="61"/>
      <c r="G533" s="61"/>
      <c r="H533" s="61"/>
      <c r="I533" s="61"/>
    </row>
    <row r="534" spans="5:9" ht="13" x14ac:dyDescent="0.15">
      <c r="E534" s="61"/>
      <c r="F534" s="61"/>
      <c r="G534" s="61"/>
      <c r="H534" s="61"/>
      <c r="I534" s="61"/>
    </row>
    <row r="535" spans="5:9" ht="13" x14ac:dyDescent="0.15">
      <c r="E535" s="61"/>
      <c r="F535" s="61"/>
      <c r="G535" s="61"/>
      <c r="H535" s="61"/>
      <c r="I535" s="61"/>
    </row>
    <row r="536" spans="5:9" ht="13" x14ac:dyDescent="0.15">
      <c r="E536" s="61"/>
      <c r="F536" s="61"/>
      <c r="G536" s="61"/>
      <c r="H536" s="61"/>
      <c r="I536" s="61"/>
    </row>
    <row r="537" spans="5:9" ht="13" x14ac:dyDescent="0.15">
      <c r="E537" s="61"/>
      <c r="F537" s="61"/>
      <c r="G537" s="61"/>
      <c r="H537" s="61"/>
      <c r="I537" s="61"/>
    </row>
    <row r="538" spans="5:9" ht="13" x14ac:dyDescent="0.15">
      <c r="E538" s="61"/>
      <c r="F538" s="61"/>
      <c r="G538" s="61"/>
      <c r="H538" s="61"/>
      <c r="I538" s="61"/>
    </row>
    <row r="539" spans="5:9" ht="13" x14ac:dyDescent="0.15">
      <c r="E539" s="61"/>
      <c r="F539" s="61"/>
      <c r="G539" s="61"/>
      <c r="H539" s="61"/>
      <c r="I539" s="61"/>
    </row>
    <row r="540" spans="5:9" ht="13" x14ac:dyDescent="0.15">
      <c r="E540" s="61"/>
      <c r="F540" s="61"/>
      <c r="G540" s="61"/>
      <c r="H540" s="61"/>
      <c r="I540" s="61"/>
    </row>
    <row r="541" spans="5:9" ht="13" x14ac:dyDescent="0.15">
      <c r="E541" s="61"/>
      <c r="F541" s="61"/>
      <c r="G541" s="61"/>
      <c r="H541" s="61"/>
      <c r="I541" s="61"/>
    </row>
    <row r="542" spans="5:9" ht="13" x14ac:dyDescent="0.15">
      <c r="E542" s="61"/>
      <c r="F542" s="61"/>
      <c r="G542" s="61"/>
      <c r="H542" s="61"/>
      <c r="I542" s="61"/>
    </row>
    <row r="543" spans="5:9" ht="13" x14ac:dyDescent="0.15">
      <c r="E543" s="61"/>
      <c r="F543" s="61"/>
      <c r="G543" s="61"/>
      <c r="H543" s="61"/>
      <c r="I543" s="61"/>
    </row>
    <row r="544" spans="5:9" ht="13" x14ac:dyDescent="0.15">
      <c r="E544" s="61"/>
      <c r="F544" s="61"/>
      <c r="G544" s="61"/>
      <c r="H544" s="61"/>
      <c r="I544" s="61"/>
    </row>
    <row r="545" spans="5:9" ht="13" x14ac:dyDescent="0.15">
      <c r="E545" s="61"/>
      <c r="F545" s="61"/>
      <c r="G545" s="61"/>
      <c r="H545" s="61"/>
      <c r="I545" s="61"/>
    </row>
    <row r="546" spans="5:9" ht="13" x14ac:dyDescent="0.15">
      <c r="E546" s="61"/>
      <c r="F546" s="61"/>
      <c r="G546" s="61"/>
      <c r="H546" s="61"/>
      <c r="I546" s="61"/>
    </row>
    <row r="547" spans="5:9" ht="13" x14ac:dyDescent="0.15">
      <c r="E547" s="61"/>
      <c r="F547" s="61"/>
      <c r="G547" s="61"/>
      <c r="H547" s="61"/>
      <c r="I547" s="61"/>
    </row>
    <row r="548" spans="5:9" ht="13" x14ac:dyDescent="0.15">
      <c r="E548" s="61"/>
      <c r="F548" s="61"/>
      <c r="G548" s="61"/>
      <c r="H548" s="61"/>
      <c r="I548" s="61"/>
    </row>
    <row r="549" spans="5:9" ht="13" x14ac:dyDescent="0.15">
      <c r="E549" s="61"/>
      <c r="F549" s="61"/>
      <c r="G549" s="61"/>
      <c r="H549" s="61"/>
      <c r="I549" s="61"/>
    </row>
    <row r="550" spans="5:9" ht="13" x14ac:dyDescent="0.15">
      <c r="E550" s="61"/>
      <c r="F550" s="61"/>
      <c r="G550" s="61"/>
      <c r="H550" s="61"/>
      <c r="I550" s="61"/>
    </row>
    <row r="551" spans="5:9" ht="13" x14ac:dyDescent="0.15">
      <c r="E551" s="61"/>
      <c r="F551" s="61"/>
      <c r="G551" s="61"/>
      <c r="H551" s="61"/>
      <c r="I551" s="61"/>
    </row>
    <row r="552" spans="5:9" ht="13" x14ac:dyDescent="0.15">
      <c r="E552" s="61"/>
      <c r="F552" s="61"/>
      <c r="G552" s="61"/>
      <c r="H552" s="61"/>
      <c r="I552" s="61"/>
    </row>
    <row r="553" spans="5:9" ht="13" x14ac:dyDescent="0.15">
      <c r="E553" s="61"/>
      <c r="F553" s="61"/>
      <c r="G553" s="61"/>
      <c r="H553" s="61"/>
      <c r="I553" s="61"/>
    </row>
    <row r="554" spans="5:9" ht="13" x14ac:dyDescent="0.15">
      <c r="E554" s="61"/>
      <c r="F554" s="61"/>
      <c r="G554" s="61"/>
      <c r="H554" s="61"/>
      <c r="I554" s="61"/>
    </row>
    <row r="555" spans="5:9" ht="13" x14ac:dyDescent="0.15">
      <c r="E555" s="61"/>
      <c r="F555" s="61"/>
      <c r="G555" s="61"/>
      <c r="H555" s="61"/>
      <c r="I555" s="61"/>
    </row>
    <row r="556" spans="5:9" ht="13" x14ac:dyDescent="0.15">
      <c r="E556" s="61"/>
      <c r="F556" s="61"/>
      <c r="G556" s="61"/>
      <c r="H556" s="61"/>
      <c r="I556" s="61"/>
    </row>
    <row r="557" spans="5:9" ht="13" x14ac:dyDescent="0.15">
      <c r="E557" s="61"/>
      <c r="F557" s="61"/>
      <c r="G557" s="61"/>
      <c r="H557" s="61"/>
      <c r="I557" s="61"/>
    </row>
    <row r="558" spans="5:9" ht="13" x14ac:dyDescent="0.15">
      <c r="E558" s="61"/>
      <c r="F558" s="61"/>
      <c r="G558" s="61"/>
      <c r="H558" s="61"/>
      <c r="I558" s="61"/>
    </row>
    <row r="559" spans="5:9" ht="13" x14ac:dyDescent="0.15">
      <c r="E559" s="61"/>
      <c r="F559" s="61"/>
      <c r="G559" s="61"/>
      <c r="H559" s="61"/>
      <c r="I559" s="61"/>
    </row>
    <row r="560" spans="5:9" ht="13" x14ac:dyDescent="0.15">
      <c r="E560" s="61"/>
      <c r="F560" s="61"/>
      <c r="G560" s="61"/>
      <c r="H560" s="61"/>
      <c r="I560" s="61"/>
    </row>
    <row r="561" spans="5:9" ht="13" x14ac:dyDescent="0.15">
      <c r="E561" s="61"/>
      <c r="F561" s="61"/>
      <c r="G561" s="61"/>
      <c r="H561" s="61"/>
      <c r="I561" s="61"/>
    </row>
    <row r="562" spans="5:9" ht="13" x14ac:dyDescent="0.15">
      <c r="E562" s="61"/>
      <c r="F562" s="61"/>
      <c r="G562" s="61"/>
      <c r="H562" s="61"/>
      <c r="I562" s="61"/>
    </row>
    <row r="563" spans="5:9" ht="13" x14ac:dyDescent="0.15">
      <c r="E563" s="61"/>
      <c r="F563" s="61"/>
      <c r="G563" s="61"/>
      <c r="H563" s="61"/>
      <c r="I563" s="61"/>
    </row>
    <row r="564" spans="5:9" ht="13" x14ac:dyDescent="0.15">
      <c r="E564" s="61"/>
      <c r="F564" s="61"/>
      <c r="G564" s="61"/>
      <c r="H564" s="61"/>
      <c r="I564" s="61"/>
    </row>
    <row r="565" spans="5:9" ht="13" x14ac:dyDescent="0.15">
      <c r="E565" s="61"/>
      <c r="F565" s="61"/>
      <c r="G565" s="61"/>
      <c r="H565" s="61"/>
      <c r="I565" s="61"/>
    </row>
    <row r="566" spans="5:9" ht="13" x14ac:dyDescent="0.15">
      <c r="E566" s="61"/>
      <c r="F566" s="61"/>
      <c r="G566" s="61"/>
      <c r="H566" s="61"/>
      <c r="I566" s="61"/>
    </row>
    <row r="567" spans="5:9" ht="13" x14ac:dyDescent="0.15">
      <c r="E567" s="61"/>
      <c r="F567" s="61"/>
      <c r="G567" s="61"/>
      <c r="H567" s="61"/>
      <c r="I567" s="61"/>
    </row>
    <row r="568" spans="5:9" ht="13" x14ac:dyDescent="0.15">
      <c r="E568" s="61"/>
      <c r="F568" s="61"/>
      <c r="G568" s="61"/>
      <c r="H568" s="61"/>
      <c r="I568" s="61"/>
    </row>
    <row r="569" spans="5:9" ht="13" x14ac:dyDescent="0.15">
      <c r="E569" s="61"/>
      <c r="F569" s="61"/>
      <c r="G569" s="61"/>
      <c r="H569" s="61"/>
      <c r="I569" s="61"/>
    </row>
    <row r="570" spans="5:9" ht="13" x14ac:dyDescent="0.15">
      <c r="E570" s="61"/>
      <c r="F570" s="61"/>
      <c r="G570" s="61"/>
      <c r="H570" s="61"/>
      <c r="I570" s="61"/>
    </row>
    <row r="571" spans="5:9" ht="13" x14ac:dyDescent="0.15">
      <c r="E571" s="61"/>
      <c r="F571" s="61"/>
      <c r="G571" s="61"/>
      <c r="H571" s="61"/>
      <c r="I571" s="61"/>
    </row>
    <row r="572" spans="5:9" ht="13" x14ac:dyDescent="0.15">
      <c r="E572" s="61"/>
      <c r="F572" s="61"/>
      <c r="G572" s="61"/>
      <c r="H572" s="61"/>
      <c r="I572" s="61"/>
    </row>
    <row r="573" spans="5:9" ht="13" x14ac:dyDescent="0.15">
      <c r="E573" s="61"/>
      <c r="F573" s="61"/>
      <c r="G573" s="61"/>
      <c r="H573" s="61"/>
      <c r="I573" s="61"/>
    </row>
    <row r="574" spans="5:9" ht="13" x14ac:dyDescent="0.15">
      <c r="E574" s="61"/>
      <c r="F574" s="61"/>
      <c r="G574" s="61"/>
      <c r="H574" s="61"/>
      <c r="I574" s="61"/>
    </row>
    <row r="575" spans="5:9" ht="13" x14ac:dyDescent="0.15">
      <c r="E575" s="61"/>
      <c r="F575" s="61"/>
      <c r="G575" s="61"/>
      <c r="H575" s="61"/>
      <c r="I575" s="61"/>
    </row>
    <row r="576" spans="5:9" ht="13" x14ac:dyDescent="0.15">
      <c r="E576" s="61"/>
      <c r="F576" s="61"/>
      <c r="G576" s="61"/>
      <c r="H576" s="61"/>
      <c r="I576" s="61"/>
    </row>
    <row r="577" spans="5:9" ht="13" x14ac:dyDescent="0.15">
      <c r="E577" s="61"/>
      <c r="F577" s="61"/>
      <c r="G577" s="61"/>
      <c r="H577" s="61"/>
      <c r="I577" s="61"/>
    </row>
    <row r="578" spans="5:9" ht="13" x14ac:dyDescent="0.15">
      <c r="E578" s="61"/>
      <c r="F578" s="61"/>
      <c r="G578" s="61"/>
      <c r="H578" s="61"/>
      <c r="I578" s="61"/>
    </row>
    <row r="579" spans="5:9" ht="13" x14ac:dyDescent="0.15">
      <c r="E579" s="61"/>
      <c r="F579" s="61"/>
      <c r="G579" s="61"/>
      <c r="H579" s="61"/>
      <c r="I579" s="61"/>
    </row>
    <row r="580" spans="5:9" ht="13" x14ac:dyDescent="0.15">
      <c r="E580" s="61"/>
      <c r="F580" s="61"/>
      <c r="G580" s="61"/>
      <c r="H580" s="61"/>
      <c r="I580" s="61"/>
    </row>
    <row r="581" spans="5:9" ht="13" x14ac:dyDescent="0.15">
      <c r="E581" s="61"/>
      <c r="F581" s="61"/>
      <c r="G581" s="61"/>
      <c r="H581" s="61"/>
      <c r="I581" s="61"/>
    </row>
    <row r="582" spans="5:9" ht="13" x14ac:dyDescent="0.15">
      <c r="E582" s="61"/>
      <c r="F582" s="61"/>
      <c r="G582" s="61"/>
      <c r="H582" s="61"/>
      <c r="I582" s="61"/>
    </row>
    <row r="583" spans="5:9" ht="13" x14ac:dyDescent="0.15">
      <c r="E583" s="61"/>
      <c r="F583" s="61"/>
      <c r="G583" s="61"/>
      <c r="H583" s="61"/>
      <c r="I583" s="61"/>
    </row>
    <row r="584" spans="5:9" ht="13" x14ac:dyDescent="0.15">
      <c r="E584" s="61"/>
      <c r="F584" s="61"/>
      <c r="G584" s="61"/>
      <c r="H584" s="61"/>
      <c r="I584" s="61"/>
    </row>
    <row r="585" spans="5:9" ht="13" x14ac:dyDescent="0.15">
      <c r="E585" s="61"/>
      <c r="F585" s="61"/>
      <c r="G585" s="61"/>
      <c r="H585" s="61"/>
      <c r="I585" s="61"/>
    </row>
    <row r="586" spans="5:9" ht="13" x14ac:dyDescent="0.15">
      <c r="E586" s="61"/>
      <c r="F586" s="61"/>
      <c r="G586" s="61"/>
      <c r="H586" s="61"/>
      <c r="I586" s="61"/>
    </row>
    <row r="587" spans="5:9" ht="13" x14ac:dyDescent="0.15">
      <c r="E587" s="61"/>
      <c r="F587" s="61"/>
      <c r="G587" s="61"/>
      <c r="H587" s="61"/>
      <c r="I587" s="61"/>
    </row>
    <row r="588" spans="5:9" ht="13" x14ac:dyDescent="0.15">
      <c r="E588" s="61"/>
      <c r="F588" s="61"/>
      <c r="G588" s="61"/>
      <c r="H588" s="61"/>
      <c r="I588" s="61"/>
    </row>
    <row r="589" spans="5:9" ht="13" x14ac:dyDescent="0.15">
      <c r="E589" s="61"/>
      <c r="F589" s="61"/>
      <c r="G589" s="61"/>
      <c r="H589" s="61"/>
      <c r="I589" s="61"/>
    </row>
    <row r="590" spans="5:9" ht="13" x14ac:dyDescent="0.15">
      <c r="E590" s="61"/>
      <c r="F590" s="61"/>
      <c r="G590" s="61"/>
      <c r="H590" s="61"/>
      <c r="I590" s="61"/>
    </row>
    <row r="591" spans="5:9" ht="13" x14ac:dyDescent="0.15">
      <c r="E591" s="61"/>
      <c r="F591" s="61"/>
      <c r="G591" s="61"/>
      <c r="H591" s="61"/>
      <c r="I591" s="61"/>
    </row>
    <row r="592" spans="5:9" ht="13" x14ac:dyDescent="0.15">
      <c r="E592" s="61"/>
      <c r="F592" s="61"/>
      <c r="G592" s="61"/>
      <c r="H592" s="61"/>
      <c r="I592" s="61"/>
    </row>
    <row r="593" spans="5:9" ht="13" x14ac:dyDescent="0.15">
      <c r="E593" s="61"/>
      <c r="F593" s="61"/>
      <c r="G593" s="61"/>
      <c r="H593" s="61"/>
      <c r="I593" s="61"/>
    </row>
    <row r="594" spans="5:9" ht="13" x14ac:dyDescent="0.15">
      <c r="E594" s="61"/>
      <c r="F594" s="61"/>
      <c r="G594" s="61"/>
      <c r="H594" s="61"/>
      <c r="I594" s="61"/>
    </row>
    <row r="595" spans="5:9" ht="13" x14ac:dyDescent="0.15">
      <c r="E595" s="61"/>
      <c r="F595" s="61"/>
      <c r="G595" s="61"/>
      <c r="H595" s="61"/>
      <c r="I595" s="61"/>
    </row>
    <row r="596" spans="5:9" ht="13" x14ac:dyDescent="0.15">
      <c r="E596" s="61"/>
      <c r="F596" s="61"/>
      <c r="G596" s="61"/>
      <c r="H596" s="61"/>
      <c r="I596" s="61"/>
    </row>
    <row r="597" spans="5:9" ht="13" x14ac:dyDescent="0.15">
      <c r="E597" s="61"/>
      <c r="F597" s="61"/>
      <c r="G597" s="61"/>
      <c r="H597" s="61"/>
      <c r="I597" s="61"/>
    </row>
    <row r="598" spans="5:9" ht="13" x14ac:dyDescent="0.15">
      <c r="E598" s="61"/>
      <c r="F598" s="61"/>
      <c r="G598" s="61"/>
      <c r="H598" s="61"/>
      <c r="I598" s="61"/>
    </row>
    <row r="599" spans="5:9" ht="13" x14ac:dyDescent="0.15">
      <c r="E599" s="61"/>
      <c r="F599" s="61"/>
      <c r="G599" s="61"/>
      <c r="H599" s="61"/>
      <c r="I599" s="61"/>
    </row>
    <row r="600" spans="5:9" ht="13" x14ac:dyDescent="0.15">
      <c r="E600" s="61"/>
      <c r="F600" s="61"/>
      <c r="G600" s="61"/>
      <c r="H600" s="61"/>
      <c r="I600" s="61"/>
    </row>
    <row r="601" spans="5:9" ht="13" x14ac:dyDescent="0.15">
      <c r="E601" s="61"/>
      <c r="F601" s="61"/>
      <c r="G601" s="61"/>
      <c r="H601" s="61"/>
      <c r="I601" s="61"/>
    </row>
    <row r="602" spans="5:9" ht="13" x14ac:dyDescent="0.15">
      <c r="E602" s="61"/>
      <c r="F602" s="61"/>
      <c r="G602" s="61"/>
      <c r="H602" s="61"/>
      <c r="I602" s="61"/>
    </row>
    <row r="603" spans="5:9" ht="13" x14ac:dyDescent="0.15">
      <c r="E603" s="61"/>
      <c r="F603" s="61"/>
      <c r="G603" s="61"/>
      <c r="H603" s="61"/>
      <c r="I603" s="61"/>
    </row>
    <row r="604" spans="5:9" ht="13" x14ac:dyDescent="0.15">
      <c r="E604" s="61"/>
      <c r="F604" s="61"/>
      <c r="G604" s="61"/>
      <c r="H604" s="61"/>
      <c r="I604" s="61"/>
    </row>
    <row r="605" spans="5:9" ht="13" x14ac:dyDescent="0.15">
      <c r="E605" s="61"/>
      <c r="F605" s="61"/>
      <c r="G605" s="61"/>
      <c r="H605" s="61"/>
      <c r="I605" s="61"/>
    </row>
    <row r="606" spans="5:9" ht="13" x14ac:dyDescent="0.15">
      <c r="E606" s="61"/>
      <c r="F606" s="61"/>
      <c r="G606" s="61"/>
      <c r="H606" s="61"/>
      <c r="I606" s="61"/>
    </row>
    <row r="607" spans="5:9" ht="13" x14ac:dyDescent="0.15">
      <c r="E607" s="61"/>
      <c r="F607" s="61"/>
      <c r="G607" s="61"/>
      <c r="H607" s="61"/>
      <c r="I607" s="61"/>
    </row>
    <row r="608" spans="5:9" ht="13" x14ac:dyDescent="0.15">
      <c r="E608" s="61"/>
      <c r="F608" s="61"/>
      <c r="G608" s="61"/>
      <c r="H608" s="61"/>
      <c r="I608" s="61"/>
    </row>
    <row r="609" spans="5:9" ht="13" x14ac:dyDescent="0.15">
      <c r="E609" s="61"/>
      <c r="F609" s="61"/>
      <c r="G609" s="61"/>
      <c r="H609" s="61"/>
      <c r="I609" s="61"/>
    </row>
    <row r="610" spans="5:9" ht="13" x14ac:dyDescent="0.15">
      <c r="E610" s="61"/>
      <c r="F610" s="61"/>
      <c r="G610" s="61"/>
      <c r="H610" s="61"/>
      <c r="I610" s="61"/>
    </row>
    <row r="611" spans="5:9" ht="13" x14ac:dyDescent="0.15">
      <c r="E611" s="61"/>
      <c r="F611" s="61"/>
      <c r="G611" s="61"/>
      <c r="H611" s="61"/>
      <c r="I611" s="61"/>
    </row>
    <row r="612" spans="5:9" ht="13" x14ac:dyDescent="0.15">
      <c r="E612" s="61"/>
      <c r="F612" s="61"/>
      <c r="G612" s="61"/>
      <c r="H612" s="61"/>
      <c r="I612" s="61"/>
    </row>
    <row r="613" spans="5:9" ht="13" x14ac:dyDescent="0.15">
      <c r="E613" s="61"/>
      <c r="F613" s="61"/>
      <c r="G613" s="61"/>
      <c r="H613" s="61"/>
      <c r="I613" s="61"/>
    </row>
    <row r="614" spans="5:9" ht="13" x14ac:dyDescent="0.15">
      <c r="E614" s="61"/>
      <c r="F614" s="61"/>
      <c r="G614" s="61"/>
      <c r="H614" s="61"/>
      <c r="I614" s="61"/>
    </row>
    <row r="615" spans="5:9" ht="13" x14ac:dyDescent="0.15">
      <c r="E615" s="61"/>
      <c r="F615" s="61"/>
      <c r="G615" s="61"/>
      <c r="H615" s="61"/>
      <c r="I615" s="61"/>
    </row>
    <row r="616" spans="5:9" ht="13" x14ac:dyDescent="0.15">
      <c r="E616" s="61"/>
      <c r="F616" s="61"/>
      <c r="G616" s="61"/>
      <c r="H616" s="61"/>
      <c r="I616" s="61"/>
    </row>
    <row r="617" spans="5:9" ht="13" x14ac:dyDescent="0.15">
      <c r="E617" s="61"/>
      <c r="F617" s="61"/>
      <c r="G617" s="61"/>
      <c r="H617" s="61"/>
      <c r="I617" s="61"/>
    </row>
    <row r="618" spans="5:9" ht="13" x14ac:dyDescent="0.15">
      <c r="E618" s="61"/>
      <c r="F618" s="61"/>
      <c r="G618" s="61"/>
      <c r="H618" s="61"/>
      <c r="I618" s="61"/>
    </row>
    <row r="619" spans="5:9" ht="13" x14ac:dyDescent="0.15">
      <c r="E619" s="61"/>
      <c r="F619" s="61"/>
      <c r="G619" s="61"/>
      <c r="H619" s="61"/>
      <c r="I619" s="61"/>
    </row>
    <row r="620" spans="5:9" ht="13" x14ac:dyDescent="0.15">
      <c r="E620" s="61"/>
      <c r="F620" s="61"/>
      <c r="G620" s="61"/>
      <c r="H620" s="61"/>
      <c r="I620" s="61"/>
    </row>
    <row r="621" spans="5:9" ht="13" x14ac:dyDescent="0.15">
      <c r="E621" s="61"/>
      <c r="F621" s="61"/>
      <c r="G621" s="61"/>
      <c r="H621" s="61"/>
      <c r="I621" s="61"/>
    </row>
    <row r="622" spans="5:9" ht="13" x14ac:dyDescent="0.15">
      <c r="E622" s="61"/>
      <c r="F622" s="61"/>
      <c r="G622" s="61"/>
      <c r="H622" s="61"/>
      <c r="I622" s="61"/>
    </row>
    <row r="623" spans="5:9" ht="13" x14ac:dyDescent="0.15">
      <c r="E623" s="61"/>
      <c r="F623" s="61"/>
      <c r="G623" s="61"/>
      <c r="H623" s="61"/>
      <c r="I623" s="61"/>
    </row>
    <row r="624" spans="5:9" ht="13" x14ac:dyDescent="0.15">
      <c r="E624" s="61"/>
      <c r="F624" s="61"/>
      <c r="G624" s="61"/>
      <c r="H624" s="61"/>
      <c r="I624" s="61"/>
    </row>
    <row r="625" spans="5:9" ht="13" x14ac:dyDescent="0.15">
      <c r="E625" s="61"/>
      <c r="F625" s="61"/>
      <c r="G625" s="61"/>
      <c r="H625" s="61"/>
      <c r="I625" s="61"/>
    </row>
    <row r="626" spans="5:9" ht="13" x14ac:dyDescent="0.15">
      <c r="E626" s="61"/>
      <c r="F626" s="61"/>
      <c r="G626" s="61"/>
      <c r="H626" s="61"/>
      <c r="I626" s="61"/>
    </row>
    <row r="627" spans="5:9" ht="13" x14ac:dyDescent="0.15">
      <c r="E627" s="61"/>
      <c r="F627" s="61"/>
      <c r="G627" s="61"/>
      <c r="H627" s="61"/>
      <c r="I627" s="61"/>
    </row>
    <row r="628" spans="5:9" ht="13" x14ac:dyDescent="0.15">
      <c r="E628" s="61"/>
      <c r="F628" s="61"/>
      <c r="G628" s="61"/>
      <c r="H628" s="61"/>
      <c r="I628" s="61"/>
    </row>
    <row r="629" spans="5:9" ht="13" x14ac:dyDescent="0.15">
      <c r="E629" s="61"/>
      <c r="F629" s="61"/>
      <c r="G629" s="61"/>
      <c r="H629" s="61"/>
      <c r="I629" s="61"/>
    </row>
    <row r="630" spans="5:9" ht="13" x14ac:dyDescent="0.15">
      <c r="E630" s="61"/>
      <c r="F630" s="61"/>
      <c r="G630" s="61"/>
      <c r="H630" s="61"/>
      <c r="I630" s="61"/>
    </row>
    <row r="631" spans="5:9" ht="13" x14ac:dyDescent="0.15">
      <c r="E631" s="61"/>
      <c r="F631" s="61"/>
      <c r="G631" s="61"/>
      <c r="H631" s="61"/>
      <c r="I631" s="61"/>
    </row>
    <row r="632" spans="5:9" ht="13" x14ac:dyDescent="0.15">
      <c r="E632" s="61"/>
      <c r="F632" s="61"/>
      <c r="G632" s="61"/>
      <c r="H632" s="61"/>
      <c r="I632" s="61"/>
    </row>
    <row r="633" spans="5:9" ht="13" x14ac:dyDescent="0.15">
      <c r="E633" s="61"/>
      <c r="F633" s="61"/>
      <c r="G633" s="61"/>
      <c r="H633" s="61"/>
      <c r="I633" s="61"/>
    </row>
    <row r="634" spans="5:9" ht="13" x14ac:dyDescent="0.15">
      <c r="E634" s="61"/>
      <c r="F634" s="61"/>
      <c r="G634" s="61"/>
      <c r="H634" s="61"/>
      <c r="I634" s="61"/>
    </row>
    <row r="635" spans="5:9" ht="13" x14ac:dyDescent="0.15">
      <c r="E635" s="61"/>
      <c r="F635" s="61"/>
      <c r="G635" s="61"/>
      <c r="H635" s="61"/>
      <c r="I635" s="61"/>
    </row>
    <row r="636" spans="5:9" ht="13" x14ac:dyDescent="0.15">
      <c r="E636" s="61"/>
      <c r="F636" s="61"/>
      <c r="G636" s="61"/>
      <c r="H636" s="61"/>
      <c r="I636" s="61"/>
    </row>
    <row r="637" spans="5:9" ht="13" x14ac:dyDescent="0.15">
      <c r="E637" s="61"/>
      <c r="F637" s="61"/>
      <c r="G637" s="61"/>
      <c r="H637" s="61"/>
      <c r="I637" s="61"/>
    </row>
    <row r="638" spans="5:9" ht="13" x14ac:dyDescent="0.15">
      <c r="E638" s="61"/>
      <c r="F638" s="61"/>
      <c r="G638" s="61"/>
      <c r="H638" s="61"/>
      <c r="I638" s="61"/>
    </row>
    <row r="639" spans="5:9" ht="13" x14ac:dyDescent="0.15">
      <c r="E639" s="61"/>
      <c r="F639" s="61"/>
      <c r="G639" s="61"/>
      <c r="H639" s="61"/>
      <c r="I639" s="61"/>
    </row>
    <row r="640" spans="5:9" ht="13" x14ac:dyDescent="0.15">
      <c r="E640" s="61"/>
      <c r="F640" s="61"/>
      <c r="G640" s="61"/>
      <c r="H640" s="61"/>
      <c r="I640" s="61"/>
    </row>
    <row r="641" spans="5:9" ht="13" x14ac:dyDescent="0.15">
      <c r="E641" s="61"/>
      <c r="F641" s="61"/>
      <c r="G641" s="61"/>
      <c r="H641" s="61"/>
      <c r="I641" s="61"/>
    </row>
    <row r="642" spans="5:9" ht="13" x14ac:dyDescent="0.15">
      <c r="E642" s="61"/>
      <c r="F642" s="61"/>
      <c r="G642" s="61"/>
      <c r="H642" s="61"/>
      <c r="I642" s="61"/>
    </row>
    <row r="643" spans="5:9" ht="13" x14ac:dyDescent="0.15">
      <c r="E643" s="61"/>
      <c r="F643" s="61"/>
      <c r="G643" s="61"/>
      <c r="H643" s="61"/>
      <c r="I643" s="61"/>
    </row>
    <row r="644" spans="5:9" ht="13" x14ac:dyDescent="0.15">
      <c r="E644" s="61"/>
      <c r="F644" s="61"/>
      <c r="G644" s="61"/>
      <c r="H644" s="61"/>
      <c r="I644" s="61"/>
    </row>
    <row r="645" spans="5:9" ht="13" x14ac:dyDescent="0.15">
      <c r="E645" s="61"/>
      <c r="F645" s="61"/>
      <c r="G645" s="61"/>
      <c r="H645" s="61"/>
      <c r="I645" s="61"/>
    </row>
    <row r="646" spans="5:9" ht="13" x14ac:dyDescent="0.15">
      <c r="E646" s="61"/>
      <c r="F646" s="61"/>
      <c r="G646" s="61"/>
      <c r="H646" s="61"/>
      <c r="I646" s="61"/>
    </row>
    <row r="647" spans="5:9" ht="13" x14ac:dyDescent="0.15">
      <c r="E647" s="61"/>
      <c r="F647" s="61"/>
      <c r="G647" s="61"/>
      <c r="H647" s="61"/>
      <c r="I647" s="61"/>
    </row>
    <row r="648" spans="5:9" ht="13" x14ac:dyDescent="0.15">
      <c r="E648" s="61"/>
      <c r="F648" s="61"/>
      <c r="G648" s="61"/>
      <c r="H648" s="61"/>
      <c r="I648" s="61"/>
    </row>
    <row r="649" spans="5:9" ht="13" x14ac:dyDescent="0.15">
      <c r="E649" s="61"/>
      <c r="F649" s="61"/>
      <c r="G649" s="61"/>
      <c r="H649" s="61"/>
      <c r="I649" s="61"/>
    </row>
    <row r="650" spans="5:9" ht="13" x14ac:dyDescent="0.15">
      <c r="E650" s="61"/>
      <c r="F650" s="61"/>
      <c r="G650" s="61"/>
      <c r="H650" s="61"/>
      <c r="I650" s="61"/>
    </row>
    <row r="651" spans="5:9" ht="13" x14ac:dyDescent="0.15">
      <c r="E651" s="61"/>
      <c r="F651" s="61"/>
      <c r="G651" s="61"/>
      <c r="H651" s="61"/>
      <c r="I651" s="61"/>
    </row>
    <row r="652" spans="5:9" ht="13" x14ac:dyDescent="0.15">
      <c r="E652" s="61"/>
      <c r="F652" s="61"/>
      <c r="G652" s="61"/>
      <c r="H652" s="61"/>
      <c r="I652" s="61"/>
    </row>
    <row r="653" spans="5:9" ht="13" x14ac:dyDescent="0.15">
      <c r="E653" s="61"/>
      <c r="F653" s="61"/>
      <c r="G653" s="61"/>
      <c r="H653" s="61"/>
      <c r="I653" s="61"/>
    </row>
    <row r="654" spans="5:9" ht="13" x14ac:dyDescent="0.15">
      <c r="E654" s="61"/>
      <c r="F654" s="61"/>
      <c r="G654" s="61"/>
      <c r="H654" s="61"/>
      <c r="I654" s="61"/>
    </row>
    <row r="655" spans="5:9" ht="13" x14ac:dyDescent="0.15">
      <c r="E655" s="61"/>
      <c r="F655" s="61"/>
      <c r="G655" s="61"/>
      <c r="H655" s="61"/>
      <c r="I655" s="61"/>
    </row>
    <row r="656" spans="5:9" ht="13" x14ac:dyDescent="0.15">
      <c r="E656" s="61"/>
      <c r="F656" s="61"/>
      <c r="G656" s="61"/>
      <c r="H656" s="61"/>
      <c r="I656" s="61"/>
    </row>
    <row r="657" spans="5:9" ht="13" x14ac:dyDescent="0.15">
      <c r="E657" s="61"/>
      <c r="F657" s="61"/>
      <c r="G657" s="61"/>
      <c r="H657" s="61"/>
      <c r="I657" s="61"/>
    </row>
    <row r="658" spans="5:9" ht="13" x14ac:dyDescent="0.15">
      <c r="E658" s="61"/>
      <c r="F658" s="61"/>
      <c r="G658" s="61"/>
      <c r="H658" s="61"/>
      <c r="I658" s="61"/>
    </row>
    <row r="659" spans="5:9" ht="13" x14ac:dyDescent="0.15">
      <c r="E659" s="61"/>
      <c r="F659" s="61"/>
      <c r="G659" s="61"/>
      <c r="H659" s="61"/>
      <c r="I659" s="61"/>
    </row>
    <row r="660" spans="5:9" ht="13" x14ac:dyDescent="0.15">
      <c r="E660" s="61"/>
      <c r="F660" s="61"/>
      <c r="G660" s="61"/>
      <c r="H660" s="61"/>
      <c r="I660" s="61"/>
    </row>
    <row r="661" spans="5:9" ht="13" x14ac:dyDescent="0.15">
      <c r="E661" s="61"/>
      <c r="F661" s="61"/>
      <c r="G661" s="61"/>
      <c r="H661" s="61"/>
      <c r="I661" s="61"/>
    </row>
    <row r="662" spans="5:9" ht="13" x14ac:dyDescent="0.15">
      <c r="E662" s="61"/>
      <c r="F662" s="61"/>
      <c r="G662" s="61"/>
      <c r="H662" s="61"/>
      <c r="I662" s="61"/>
    </row>
    <row r="663" spans="5:9" ht="13" x14ac:dyDescent="0.15">
      <c r="E663" s="61"/>
      <c r="F663" s="61"/>
      <c r="G663" s="61"/>
      <c r="H663" s="61"/>
      <c r="I663" s="61"/>
    </row>
    <row r="664" spans="5:9" ht="13" x14ac:dyDescent="0.15">
      <c r="E664" s="61"/>
      <c r="F664" s="61"/>
      <c r="G664" s="61"/>
      <c r="H664" s="61"/>
      <c r="I664" s="61"/>
    </row>
    <row r="665" spans="5:9" ht="13" x14ac:dyDescent="0.15">
      <c r="E665" s="61"/>
      <c r="F665" s="61"/>
      <c r="G665" s="61"/>
      <c r="H665" s="61"/>
      <c r="I665" s="61"/>
    </row>
    <row r="666" spans="5:9" ht="13" x14ac:dyDescent="0.15">
      <c r="E666" s="61"/>
      <c r="F666" s="61"/>
      <c r="G666" s="61"/>
      <c r="H666" s="61"/>
      <c r="I666" s="61"/>
    </row>
    <row r="667" spans="5:9" ht="13" x14ac:dyDescent="0.15">
      <c r="E667" s="61"/>
      <c r="F667" s="61"/>
      <c r="G667" s="61"/>
      <c r="H667" s="61"/>
      <c r="I667" s="61"/>
    </row>
    <row r="668" spans="5:9" ht="13" x14ac:dyDescent="0.15">
      <c r="E668" s="61"/>
      <c r="F668" s="61"/>
      <c r="G668" s="61"/>
      <c r="H668" s="61"/>
      <c r="I668" s="61"/>
    </row>
    <row r="669" spans="5:9" ht="13" x14ac:dyDescent="0.15">
      <c r="E669" s="61"/>
      <c r="F669" s="61"/>
      <c r="G669" s="61"/>
      <c r="H669" s="61"/>
      <c r="I669" s="61"/>
    </row>
    <row r="670" spans="5:9" ht="13" x14ac:dyDescent="0.15">
      <c r="E670" s="61"/>
      <c r="F670" s="61"/>
      <c r="G670" s="61"/>
      <c r="H670" s="61"/>
      <c r="I670" s="61"/>
    </row>
    <row r="671" spans="5:9" ht="13" x14ac:dyDescent="0.15">
      <c r="E671" s="61"/>
      <c r="F671" s="61"/>
      <c r="G671" s="61"/>
      <c r="H671" s="61"/>
      <c r="I671" s="61"/>
    </row>
    <row r="672" spans="5:9" ht="13" x14ac:dyDescent="0.15">
      <c r="E672" s="61"/>
      <c r="F672" s="61"/>
      <c r="G672" s="61"/>
      <c r="H672" s="61"/>
      <c r="I672" s="61"/>
    </row>
    <row r="673" spans="5:9" ht="13" x14ac:dyDescent="0.15">
      <c r="E673" s="61"/>
      <c r="F673" s="61"/>
      <c r="G673" s="61"/>
      <c r="H673" s="61"/>
      <c r="I673" s="61"/>
    </row>
    <row r="674" spans="5:9" ht="13" x14ac:dyDescent="0.15">
      <c r="E674" s="61"/>
      <c r="F674" s="61"/>
      <c r="G674" s="61"/>
      <c r="H674" s="61"/>
      <c r="I674" s="61"/>
    </row>
    <row r="675" spans="5:9" ht="13" x14ac:dyDescent="0.15">
      <c r="E675" s="61"/>
      <c r="F675" s="61"/>
      <c r="G675" s="61"/>
      <c r="H675" s="61"/>
      <c r="I675" s="61"/>
    </row>
    <row r="676" spans="5:9" ht="13" x14ac:dyDescent="0.15">
      <c r="E676" s="61"/>
      <c r="F676" s="61"/>
      <c r="G676" s="61"/>
      <c r="H676" s="61"/>
      <c r="I676" s="61"/>
    </row>
    <row r="677" spans="5:9" ht="13" x14ac:dyDescent="0.15">
      <c r="E677" s="61"/>
      <c r="F677" s="61"/>
      <c r="G677" s="61"/>
      <c r="H677" s="61"/>
      <c r="I677" s="61"/>
    </row>
    <row r="678" spans="5:9" ht="13" x14ac:dyDescent="0.15">
      <c r="E678" s="61"/>
      <c r="F678" s="61"/>
      <c r="G678" s="61"/>
      <c r="H678" s="61"/>
      <c r="I678" s="61"/>
    </row>
    <row r="679" spans="5:9" ht="13" x14ac:dyDescent="0.15">
      <c r="E679" s="61"/>
      <c r="F679" s="61"/>
      <c r="G679" s="61"/>
      <c r="H679" s="61"/>
      <c r="I679" s="61"/>
    </row>
    <row r="680" spans="5:9" ht="13" x14ac:dyDescent="0.15">
      <c r="E680" s="61"/>
      <c r="F680" s="61"/>
      <c r="G680" s="61"/>
      <c r="H680" s="61"/>
      <c r="I680" s="61"/>
    </row>
    <row r="681" spans="5:9" ht="13" x14ac:dyDescent="0.15">
      <c r="E681" s="61"/>
      <c r="F681" s="61"/>
      <c r="G681" s="61"/>
      <c r="H681" s="61"/>
      <c r="I681" s="61"/>
    </row>
    <row r="682" spans="5:9" ht="13" x14ac:dyDescent="0.15">
      <c r="E682" s="61"/>
      <c r="F682" s="61"/>
      <c r="G682" s="61"/>
      <c r="H682" s="61"/>
      <c r="I682" s="61"/>
    </row>
    <row r="683" spans="5:9" ht="13" x14ac:dyDescent="0.15">
      <c r="E683" s="61"/>
      <c r="F683" s="61"/>
      <c r="G683" s="61"/>
      <c r="H683" s="61"/>
      <c r="I683" s="61"/>
    </row>
    <row r="684" spans="5:9" ht="13" x14ac:dyDescent="0.15">
      <c r="E684" s="61"/>
      <c r="F684" s="61"/>
      <c r="G684" s="61"/>
      <c r="H684" s="61"/>
      <c r="I684" s="61"/>
    </row>
    <row r="685" spans="5:9" ht="13" x14ac:dyDescent="0.15">
      <c r="E685" s="61"/>
      <c r="F685" s="61"/>
      <c r="G685" s="61"/>
      <c r="H685" s="61"/>
      <c r="I685" s="61"/>
    </row>
    <row r="686" spans="5:9" ht="13" x14ac:dyDescent="0.15">
      <c r="E686" s="61"/>
      <c r="F686" s="61"/>
      <c r="G686" s="61"/>
      <c r="H686" s="61"/>
      <c r="I686" s="61"/>
    </row>
    <row r="687" spans="5:9" ht="13" x14ac:dyDescent="0.15">
      <c r="E687" s="61"/>
      <c r="F687" s="61"/>
      <c r="G687" s="61"/>
      <c r="H687" s="61"/>
      <c r="I687" s="61"/>
    </row>
    <row r="688" spans="5:9" ht="13" x14ac:dyDescent="0.15">
      <c r="E688" s="61"/>
      <c r="F688" s="61"/>
      <c r="G688" s="61"/>
      <c r="H688" s="61"/>
      <c r="I688" s="61"/>
    </row>
    <row r="689" spans="5:9" ht="13" x14ac:dyDescent="0.15">
      <c r="E689" s="61"/>
      <c r="F689" s="61"/>
      <c r="G689" s="61"/>
      <c r="H689" s="61"/>
      <c r="I689" s="61"/>
    </row>
    <row r="690" spans="5:9" ht="13" x14ac:dyDescent="0.15">
      <c r="E690" s="61"/>
      <c r="F690" s="61"/>
      <c r="G690" s="61"/>
      <c r="H690" s="61"/>
      <c r="I690" s="61"/>
    </row>
    <row r="691" spans="5:9" ht="13" x14ac:dyDescent="0.15">
      <c r="E691" s="61"/>
      <c r="F691" s="61"/>
      <c r="G691" s="61"/>
      <c r="H691" s="61"/>
      <c r="I691" s="61"/>
    </row>
    <row r="692" spans="5:9" ht="13" x14ac:dyDescent="0.15">
      <c r="E692" s="61"/>
      <c r="F692" s="61"/>
      <c r="G692" s="61"/>
      <c r="H692" s="61"/>
      <c r="I692" s="61"/>
    </row>
    <row r="693" spans="5:9" ht="13" x14ac:dyDescent="0.15">
      <c r="E693" s="61"/>
      <c r="F693" s="61"/>
      <c r="G693" s="61"/>
      <c r="H693" s="61"/>
      <c r="I693" s="61"/>
    </row>
    <row r="694" spans="5:9" ht="13" x14ac:dyDescent="0.15">
      <c r="E694" s="61"/>
      <c r="F694" s="61"/>
      <c r="G694" s="61"/>
      <c r="H694" s="61"/>
      <c r="I694" s="61"/>
    </row>
    <row r="695" spans="5:9" ht="13" x14ac:dyDescent="0.15">
      <c r="E695" s="61"/>
      <c r="F695" s="61"/>
      <c r="G695" s="61"/>
      <c r="H695" s="61"/>
      <c r="I695" s="61"/>
    </row>
    <row r="696" spans="5:9" ht="13" x14ac:dyDescent="0.15">
      <c r="E696" s="61"/>
      <c r="F696" s="61"/>
      <c r="G696" s="61"/>
      <c r="H696" s="61"/>
      <c r="I696" s="61"/>
    </row>
    <row r="697" spans="5:9" ht="13" x14ac:dyDescent="0.15">
      <c r="E697" s="61"/>
      <c r="F697" s="61"/>
      <c r="G697" s="61"/>
      <c r="H697" s="61"/>
      <c r="I697" s="61"/>
    </row>
    <row r="698" spans="5:9" ht="13" x14ac:dyDescent="0.15">
      <c r="E698" s="61"/>
      <c r="F698" s="61"/>
      <c r="G698" s="61"/>
      <c r="H698" s="61"/>
      <c r="I698" s="61"/>
    </row>
    <row r="699" spans="5:9" ht="13" x14ac:dyDescent="0.15">
      <c r="E699" s="61"/>
      <c r="F699" s="61"/>
      <c r="G699" s="61"/>
      <c r="H699" s="61"/>
      <c r="I699" s="61"/>
    </row>
    <row r="700" spans="5:9" ht="13" x14ac:dyDescent="0.15">
      <c r="E700" s="61"/>
      <c r="F700" s="61"/>
      <c r="G700" s="61"/>
      <c r="H700" s="61"/>
      <c r="I700" s="61"/>
    </row>
    <row r="701" spans="5:9" ht="13" x14ac:dyDescent="0.15">
      <c r="E701" s="61"/>
      <c r="F701" s="61"/>
      <c r="G701" s="61"/>
      <c r="H701" s="61"/>
      <c r="I701" s="61"/>
    </row>
    <row r="702" spans="5:9" ht="13" x14ac:dyDescent="0.15">
      <c r="E702" s="61"/>
      <c r="F702" s="61"/>
      <c r="G702" s="61"/>
      <c r="H702" s="61"/>
      <c r="I702" s="61"/>
    </row>
    <row r="703" spans="5:9" ht="13" x14ac:dyDescent="0.15">
      <c r="E703" s="61"/>
      <c r="F703" s="61"/>
      <c r="G703" s="61"/>
      <c r="H703" s="61"/>
      <c r="I703" s="61"/>
    </row>
    <row r="704" spans="5:9" ht="13" x14ac:dyDescent="0.15">
      <c r="E704" s="61"/>
      <c r="F704" s="61"/>
      <c r="G704" s="61"/>
      <c r="H704" s="61"/>
      <c r="I704" s="61"/>
    </row>
    <row r="705" spans="5:9" ht="13" x14ac:dyDescent="0.15">
      <c r="E705" s="61"/>
      <c r="F705" s="61"/>
      <c r="G705" s="61"/>
      <c r="H705" s="61"/>
      <c r="I705" s="61"/>
    </row>
    <row r="706" spans="5:9" ht="13" x14ac:dyDescent="0.15">
      <c r="E706" s="61"/>
      <c r="F706" s="61"/>
      <c r="G706" s="61"/>
      <c r="H706" s="61"/>
      <c r="I706" s="61"/>
    </row>
    <row r="707" spans="5:9" ht="13" x14ac:dyDescent="0.15">
      <c r="E707" s="61"/>
      <c r="F707" s="61"/>
      <c r="G707" s="61"/>
      <c r="H707" s="61"/>
      <c r="I707" s="61"/>
    </row>
    <row r="708" spans="5:9" ht="13" x14ac:dyDescent="0.15">
      <c r="E708" s="61"/>
      <c r="F708" s="61"/>
      <c r="G708" s="61"/>
      <c r="H708" s="61"/>
      <c r="I708" s="61"/>
    </row>
    <row r="709" spans="5:9" ht="13" x14ac:dyDescent="0.15">
      <c r="E709" s="61"/>
      <c r="F709" s="61"/>
      <c r="G709" s="61"/>
      <c r="H709" s="61"/>
      <c r="I709" s="61"/>
    </row>
    <row r="710" spans="5:9" ht="13" x14ac:dyDescent="0.15">
      <c r="E710" s="61"/>
      <c r="F710" s="61"/>
      <c r="G710" s="61"/>
      <c r="H710" s="61"/>
      <c r="I710" s="61"/>
    </row>
    <row r="711" spans="5:9" ht="13" x14ac:dyDescent="0.15">
      <c r="E711" s="61"/>
      <c r="F711" s="61"/>
      <c r="G711" s="61"/>
      <c r="H711" s="61"/>
      <c r="I711" s="61"/>
    </row>
    <row r="712" spans="5:9" ht="13" x14ac:dyDescent="0.15">
      <c r="E712" s="61"/>
      <c r="F712" s="61"/>
      <c r="G712" s="61"/>
      <c r="H712" s="61"/>
      <c r="I712" s="61"/>
    </row>
    <row r="713" spans="5:9" ht="13" x14ac:dyDescent="0.15">
      <c r="E713" s="61"/>
      <c r="F713" s="61"/>
      <c r="G713" s="61"/>
      <c r="H713" s="61"/>
      <c r="I713" s="61"/>
    </row>
    <row r="714" spans="5:9" ht="13" x14ac:dyDescent="0.15">
      <c r="E714" s="61"/>
      <c r="F714" s="61"/>
      <c r="G714" s="61"/>
      <c r="H714" s="61"/>
      <c r="I714" s="61"/>
    </row>
    <row r="715" spans="5:9" ht="13" x14ac:dyDescent="0.15">
      <c r="E715" s="61"/>
      <c r="F715" s="61"/>
      <c r="G715" s="61"/>
      <c r="H715" s="61"/>
      <c r="I715" s="61"/>
    </row>
    <row r="716" spans="5:9" ht="13" x14ac:dyDescent="0.15">
      <c r="E716" s="61"/>
      <c r="F716" s="61"/>
      <c r="G716" s="61"/>
      <c r="H716" s="61"/>
      <c r="I716" s="61"/>
    </row>
    <row r="717" spans="5:9" ht="13" x14ac:dyDescent="0.15">
      <c r="E717" s="61"/>
      <c r="F717" s="61"/>
      <c r="G717" s="61"/>
      <c r="H717" s="61"/>
      <c r="I717" s="61"/>
    </row>
    <row r="718" spans="5:9" ht="13" x14ac:dyDescent="0.15">
      <c r="E718" s="61"/>
      <c r="F718" s="61"/>
      <c r="G718" s="61"/>
      <c r="H718" s="61"/>
      <c r="I718" s="61"/>
    </row>
    <row r="719" spans="5:9" ht="13" x14ac:dyDescent="0.15">
      <c r="E719" s="61"/>
      <c r="F719" s="61"/>
      <c r="G719" s="61"/>
      <c r="H719" s="61"/>
      <c r="I719" s="61"/>
    </row>
    <row r="720" spans="5:9" ht="13" x14ac:dyDescent="0.15">
      <c r="E720" s="61"/>
      <c r="F720" s="61"/>
      <c r="G720" s="61"/>
      <c r="H720" s="61"/>
      <c r="I720" s="61"/>
    </row>
    <row r="721" spans="5:9" ht="13" x14ac:dyDescent="0.15">
      <c r="E721" s="61"/>
      <c r="F721" s="61"/>
      <c r="G721" s="61"/>
      <c r="H721" s="61"/>
      <c r="I721" s="61"/>
    </row>
    <row r="722" spans="5:9" ht="13" x14ac:dyDescent="0.15">
      <c r="E722" s="61"/>
      <c r="F722" s="61"/>
      <c r="G722" s="61"/>
      <c r="H722" s="61"/>
      <c r="I722" s="61"/>
    </row>
    <row r="723" spans="5:9" ht="13" x14ac:dyDescent="0.15">
      <c r="E723" s="61"/>
      <c r="F723" s="61"/>
      <c r="G723" s="61"/>
      <c r="H723" s="61"/>
      <c r="I723" s="61"/>
    </row>
    <row r="724" spans="5:9" ht="13" x14ac:dyDescent="0.15">
      <c r="E724" s="61"/>
      <c r="F724" s="61"/>
      <c r="G724" s="61"/>
      <c r="H724" s="61"/>
      <c r="I724" s="61"/>
    </row>
    <row r="725" spans="5:9" ht="13" x14ac:dyDescent="0.15">
      <c r="E725" s="61"/>
      <c r="F725" s="61"/>
      <c r="G725" s="61"/>
      <c r="H725" s="61"/>
      <c r="I725" s="61"/>
    </row>
    <row r="726" spans="5:9" ht="13" x14ac:dyDescent="0.15">
      <c r="E726" s="61"/>
      <c r="F726" s="61"/>
      <c r="G726" s="61"/>
      <c r="H726" s="61"/>
      <c r="I726" s="61"/>
    </row>
    <row r="727" spans="5:9" ht="13" x14ac:dyDescent="0.15">
      <c r="E727" s="61"/>
      <c r="F727" s="61"/>
      <c r="G727" s="61"/>
      <c r="H727" s="61"/>
      <c r="I727" s="61"/>
    </row>
    <row r="728" spans="5:9" ht="13" x14ac:dyDescent="0.15">
      <c r="E728" s="61"/>
      <c r="F728" s="61"/>
      <c r="G728" s="61"/>
      <c r="H728" s="61"/>
      <c r="I728" s="61"/>
    </row>
    <row r="729" spans="5:9" ht="13" x14ac:dyDescent="0.15">
      <c r="E729" s="61"/>
      <c r="F729" s="61"/>
      <c r="G729" s="61"/>
      <c r="H729" s="61"/>
      <c r="I729" s="61"/>
    </row>
    <row r="730" spans="5:9" ht="13" x14ac:dyDescent="0.15">
      <c r="E730" s="61"/>
      <c r="F730" s="61"/>
      <c r="G730" s="61"/>
      <c r="H730" s="61"/>
      <c r="I730" s="61"/>
    </row>
    <row r="731" spans="5:9" ht="13" x14ac:dyDescent="0.15">
      <c r="E731" s="61"/>
      <c r="F731" s="61"/>
      <c r="G731" s="61"/>
      <c r="H731" s="61"/>
      <c r="I731" s="61"/>
    </row>
    <row r="732" spans="5:9" ht="13" x14ac:dyDescent="0.15">
      <c r="E732" s="61"/>
      <c r="F732" s="61"/>
      <c r="G732" s="61"/>
      <c r="H732" s="61"/>
      <c r="I732" s="61"/>
    </row>
    <row r="733" spans="5:9" ht="13" x14ac:dyDescent="0.15">
      <c r="E733" s="61"/>
      <c r="F733" s="61"/>
      <c r="G733" s="61"/>
      <c r="H733" s="61"/>
      <c r="I733" s="61"/>
    </row>
    <row r="734" spans="5:9" ht="13" x14ac:dyDescent="0.15">
      <c r="E734" s="61"/>
      <c r="F734" s="61"/>
      <c r="G734" s="61"/>
      <c r="H734" s="61"/>
      <c r="I734" s="61"/>
    </row>
    <row r="735" spans="5:9" ht="13" x14ac:dyDescent="0.15">
      <c r="E735" s="61"/>
      <c r="F735" s="61"/>
      <c r="G735" s="61"/>
      <c r="H735" s="61"/>
      <c r="I735" s="61"/>
    </row>
    <row r="736" spans="5:9" ht="13" x14ac:dyDescent="0.15">
      <c r="E736" s="61"/>
      <c r="F736" s="61"/>
      <c r="G736" s="61"/>
      <c r="H736" s="61"/>
      <c r="I736" s="61"/>
    </row>
    <row r="737" spans="5:9" ht="13" x14ac:dyDescent="0.15">
      <c r="E737" s="61"/>
      <c r="F737" s="61"/>
      <c r="G737" s="61"/>
      <c r="H737" s="61"/>
      <c r="I737" s="61"/>
    </row>
    <row r="738" spans="5:9" ht="13" x14ac:dyDescent="0.15">
      <c r="E738" s="61"/>
      <c r="F738" s="61"/>
      <c r="G738" s="61"/>
      <c r="H738" s="61"/>
      <c r="I738" s="61"/>
    </row>
    <row r="739" spans="5:9" ht="13" x14ac:dyDescent="0.15">
      <c r="E739" s="61"/>
      <c r="F739" s="61"/>
      <c r="G739" s="61"/>
      <c r="H739" s="61"/>
      <c r="I739" s="61"/>
    </row>
    <row r="740" spans="5:9" ht="13" x14ac:dyDescent="0.15">
      <c r="E740" s="61"/>
      <c r="F740" s="61"/>
      <c r="G740" s="61"/>
      <c r="H740" s="61"/>
      <c r="I740" s="61"/>
    </row>
    <row r="741" spans="5:9" ht="13" x14ac:dyDescent="0.15">
      <c r="E741" s="61"/>
      <c r="F741" s="61"/>
      <c r="G741" s="61"/>
      <c r="H741" s="61"/>
      <c r="I741" s="61"/>
    </row>
    <row r="742" spans="5:9" ht="13" x14ac:dyDescent="0.15">
      <c r="E742" s="61"/>
      <c r="F742" s="61"/>
      <c r="G742" s="61"/>
      <c r="H742" s="61"/>
      <c r="I742" s="61"/>
    </row>
    <row r="743" spans="5:9" ht="13" x14ac:dyDescent="0.15">
      <c r="E743" s="61"/>
      <c r="F743" s="61"/>
      <c r="G743" s="61"/>
      <c r="H743" s="61"/>
      <c r="I743" s="61"/>
    </row>
    <row r="744" spans="5:9" ht="13" x14ac:dyDescent="0.15">
      <c r="E744" s="61"/>
      <c r="F744" s="61"/>
      <c r="G744" s="61"/>
      <c r="H744" s="61"/>
      <c r="I744" s="61"/>
    </row>
    <row r="745" spans="5:9" ht="13" x14ac:dyDescent="0.15">
      <c r="E745" s="61"/>
      <c r="F745" s="61"/>
      <c r="G745" s="61"/>
      <c r="H745" s="61"/>
      <c r="I745" s="61"/>
    </row>
    <row r="746" spans="5:9" ht="13" x14ac:dyDescent="0.15">
      <c r="E746" s="61"/>
      <c r="F746" s="61"/>
      <c r="G746" s="61"/>
      <c r="H746" s="61"/>
      <c r="I746" s="61"/>
    </row>
    <row r="747" spans="5:9" ht="13" x14ac:dyDescent="0.15">
      <c r="E747" s="61"/>
      <c r="F747" s="61"/>
      <c r="G747" s="61"/>
      <c r="H747" s="61"/>
      <c r="I747" s="61"/>
    </row>
    <row r="748" spans="5:9" ht="13" x14ac:dyDescent="0.15">
      <c r="E748" s="61"/>
      <c r="F748" s="61"/>
      <c r="G748" s="61"/>
      <c r="H748" s="61"/>
      <c r="I748" s="61"/>
    </row>
    <row r="749" spans="5:9" ht="13" x14ac:dyDescent="0.15">
      <c r="E749" s="61"/>
      <c r="F749" s="61"/>
      <c r="G749" s="61"/>
      <c r="H749" s="61"/>
      <c r="I749" s="61"/>
    </row>
    <row r="750" spans="5:9" ht="13" x14ac:dyDescent="0.15">
      <c r="E750" s="61"/>
      <c r="F750" s="61"/>
      <c r="G750" s="61"/>
      <c r="H750" s="61"/>
      <c r="I750" s="61"/>
    </row>
    <row r="751" spans="5:9" ht="13" x14ac:dyDescent="0.15">
      <c r="E751" s="61"/>
      <c r="F751" s="61"/>
      <c r="G751" s="61"/>
      <c r="H751" s="61"/>
      <c r="I751" s="61"/>
    </row>
    <row r="752" spans="5:9" ht="13" x14ac:dyDescent="0.15">
      <c r="E752" s="61"/>
      <c r="F752" s="61"/>
      <c r="G752" s="61"/>
      <c r="H752" s="61"/>
      <c r="I752" s="61"/>
    </row>
    <row r="753" spans="5:9" ht="13" x14ac:dyDescent="0.15">
      <c r="E753" s="61"/>
      <c r="F753" s="61"/>
      <c r="G753" s="61"/>
      <c r="H753" s="61"/>
      <c r="I753" s="61"/>
    </row>
    <row r="754" spans="5:9" ht="13" x14ac:dyDescent="0.15">
      <c r="E754" s="61"/>
      <c r="F754" s="61"/>
      <c r="G754" s="61"/>
      <c r="H754" s="61"/>
      <c r="I754" s="61"/>
    </row>
    <row r="755" spans="5:9" ht="13" x14ac:dyDescent="0.15">
      <c r="E755" s="61"/>
      <c r="F755" s="61"/>
      <c r="G755" s="61"/>
      <c r="H755" s="61"/>
      <c r="I755" s="61"/>
    </row>
    <row r="756" spans="5:9" ht="13" x14ac:dyDescent="0.15">
      <c r="E756" s="61"/>
      <c r="F756" s="61"/>
      <c r="G756" s="61"/>
      <c r="H756" s="61"/>
      <c r="I756" s="61"/>
    </row>
    <row r="757" spans="5:9" ht="13" x14ac:dyDescent="0.15">
      <c r="E757" s="61"/>
      <c r="F757" s="61"/>
      <c r="G757" s="61"/>
      <c r="H757" s="61"/>
      <c r="I757" s="61"/>
    </row>
    <row r="758" spans="5:9" ht="13" x14ac:dyDescent="0.15">
      <c r="E758" s="61"/>
      <c r="F758" s="61"/>
      <c r="G758" s="61"/>
      <c r="H758" s="61"/>
      <c r="I758" s="61"/>
    </row>
    <row r="759" spans="5:9" ht="13" x14ac:dyDescent="0.15">
      <c r="E759" s="61"/>
      <c r="F759" s="61"/>
      <c r="G759" s="61"/>
      <c r="H759" s="61"/>
      <c r="I759" s="61"/>
    </row>
    <row r="760" spans="5:9" ht="13" x14ac:dyDescent="0.15">
      <c r="E760" s="61"/>
      <c r="F760" s="61"/>
      <c r="G760" s="61"/>
      <c r="H760" s="61"/>
      <c r="I760" s="61"/>
    </row>
    <row r="761" spans="5:9" ht="13" x14ac:dyDescent="0.15">
      <c r="E761" s="61"/>
      <c r="F761" s="61"/>
      <c r="G761" s="61"/>
      <c r="H761" s="61"/>
      <c r="I761" s="61"/>
    </row>
    <row r="762" spans="5:9" ht="13" x14ac:dyDescent="0.15">
      <c r="E762" s="61"/>
      <c r="F762" s="61"/>
      <c r="G762" s="61"/>
      <c r="H762" s="61"/>
      <c r="I762" s="61"/>
    </row>
    <row r="763" spans="5:9" ht="13" x14ac:dyDescent="0.15">
      <c r="E763" s="61"/>
      <c r="F763" s="61"/>
      <c r="G763" s="61"/>
      <c r="H763" s="61"/>
      <c r="I763" s="61"/>
    </row>
    <row r="764" spans="5:9" ht="13" x14ac:dyDescent="0.15">
      <c r="E764" s="61"/>
      <c r="F764" s="61"/>
      <c r="G764" s="61"/>
      <c r="H764" s="61"/>
      <c r="I764" s="61"/>
    </row>
    <row r="765" spans="5:9" ht="13" x14ac:dyDescent="0.15">
      <c r="E765" s="61"/>
      <c r="F765" s="61"/>
      <c r="G765" s="61"/>
      <c r="H765" s="61"/>
      <c r="I765" s="61"/>
    </row>
    <row r="766" spans="5:9" ht="13" x14ac:dyDescent="0.15">
      <c r="E766" s="61"/>
      <c r="F766" s="61"/>
      <c r="G766" s="61"/>
      <c r="H766" s="61"/>
      <c r="I766" s="61"/>
    </row>
    <row r="767" spans="5:9" ht="13" x14ac:dyDescent="0.15">
      <c r="E767" s="61"/>
      <c r="F767" s="61"/>
      <c r="G767" s="61"/>
      <c r="H767" s="61"/>
      <c r="I767" s="61"/>
    </row>
    <row r="768" spans="5:9" ht="13" x14ac:dyDescent="0.15">
      <c r="E768" s="61"/>
      <c r="F768" s="61"/>
      <c r="G768" s="61"/>
      <c r="H768" s="61"/>
      <c r="I768" s="61"/>
    </row>
    <row r="769" spans="5:9" ht="13" x14ac:dyDescent="0.15">
      <c r="E769" s="61"/>
      <c r="F769" s="61"/>
      <c r="G769" s="61"/>
      <c r="H769" s="61"/>
      <c r="I769" s="61"/>
    </row>
    <row r="770" spans="5:9" ht="13" x14ac:dyDescent="0.15">
      <c r="E770" s="61"/>
      <c r="F770" s="61"/>
      <c r="G770" s="61"/>
      <c r="H770" s="61"/>
      <c r="I770" s="61"/>
    </row>
    <row r="771" spans="5:9" ht="13" x14ac:dyDescent="0.15">
      <c r="E771" s="61"/>
      <c r="F771" s="61"/>
      <c r="G771" s="61"/>
      <c r="H771" s="61"/>
      <c r="I771" s="61"/>
    </row>
    <row r="772" spans="5:9" ht="13" x14ac:dyDescent="0.15">
      <c r="E772" s="61"/>
      <c r="F772" s="61"/>
      <c r="G772" s="61"/>
      <c r="H772" s="61"/>
      <c r="I772" s="61"/>
    </row>
    <row r="773" spans="5:9" ht="13" x14ac:dyDescent="0.15">
      <c r="E773" s="61"/>
      <c r="F773" s="61"/>
      <c r="G773" s="61"/>
      <c r="H773" s="61"/>
      <c r="I773" s="61"/>
    </row>
    <row r="774" spans="5:9" ht="13" x14ac:dyDescent="0.15">
      <c r="E774" s="61"/>
      <c r="F774" s="61"/>
      <c r="G774" s="61"/>
      <c r="H774" s="61"/>
      <c r="I774" s="61"/>
    </row>
    <row r="775" spans="5:9" ht="13" x14ac:dyDescent="0.15">
      <c r="E775" s="61"/>
      <c r="F775" s="61"/>
      <c r="G775" s="61"/>
      <c r="H775" s="61"/>
      <c r="I775" s="61"/>
    </row>
    <row r="776" spans="5:9" ht="13" x14ac:dyDescent="0.15">
      <c r="E776" s="61"/>
      <c r="F776" s="61"/>
      <c r="G776" s="61"/>
      <c r="H776" s="61"/>
      <c r="I776" s="61"/>
    </row>
    <row r="777" spans="5:9" ht="13" x14ac:dyDescent="0.15">
      <c r="E777" s="61"/>
      <c r="F777" s="61"/>
      <c r="G777" s="61"/>
      <c r="H777" s="61"/>
      <c r="I777" s="61"/>
    </row>
    <row r="778" spans="5:9" ht="13" x14ac:dyDescent="0.15">
      <c r="E778" s="61"/>
      <c r="F778" s="61"/>
      <c r="G778" s="61"/>
      <c r="H778" s="61"/>
      <c r="I778" s="61"/>
    </row>
    <row r="779" spans="5:9" ht="13" x14ac:dyDescent="0.15">
      <c r="E779" s="61"/>
      <c r="F779" s="61"/>
      <c r="G779" s="61"/>
      <c r="H779" s="61"/>
      <c r="I779" s="61"/>
    </row>
    <row r="780" spans="5:9" ht="13" x14ac:dyDescent="0.15">
      <c r="E780" s="61"/>
      <c r="F780" s="61"/>
      <c r="G780" s="61"/>
      <c r="H780" s="61"/>
      <c r="I780" s="61"/>
    </row>
    <row r="781" spans="5:9" ht="13" x14ac:dyDescent="0.15">
      <c r="E781" s="61"/>
      <c r="F781" s="61"/>
      <c r="G781" s="61"/>
      <c r="H781" s="61"/>
      <c r="I781" s="61"/>
    </row>
    <row r="782" spans="5:9" ht="13" x14ac:dyDescent="0.15">
      <c r="E782" s="61"/>
      <c r="F782" s="61"/>
      <c r="G782" s="61"/>
      <c r="H782" s="61"/>
      <c r="I782" s="61"/>
    </row>
    <row r="783" spans="5:9" ht="13" x14ac:dyDescent="0.15">
      <c r="E783" s="61"/>
      <c r="F783" s="61"/>
      <c r="G783" s="61"/>
      <c r="H783" s="61"/>
      <c r="I783" s="61"/>
    </row>
    <row r="784" spans="5:9" ht="13" x14ac:dyDescent="0.15">
      <c r="E784" s="61"/>
      <c r="F784" s="61"/>
      <c r="G784" s="61"/>
      <c r="H784" s="61"/>
      <c r="I784" s="61"/>
    </row>
    <row r="785" spans="5:9" ht="13" x14ac:dyDescent="0.15">
      <c r="E785" s="61"/>
      <c r="F785" s="61"/>
      <c r="G785" s="61"/>
      <c r="H785" s="61"/>
      <c r="I785" s="61"/>
    </row>
    <row r="786" spans="5:9" ht="13" x14ac:dyDescent="0.15">
      <c r="E786" s="61"/>
      <c r="F786" s="61"/>
      <c r="G786" s="61"/>
      <c r="H786" s="61"/>
      <c r="I786" s="61"/>
    </row>
    <row r="787" spans="5:9" ht="13" x14ac:dyDescent="0.15">
      <c r="E787" s="61"/>
      <c r="F787" s="61"/>
      <c r="G787" s="61"/>
      <c r="H787" s="61"/>
      <c r="I787" s="61"/>
    </row>
    <row r="788" spans="5:9" ht="13" x14ac:dyDescent="0.15">
      <c r="E788" s="61"/>
      <c r="F788" s="61"/>
      <c r="G788" s="61"/>
      <c r="H788" s="61"/>
      <c r="I788" s="61"/>
    </row>
    <row r="789" spans="5:9" ht="13" x14ac:dyDescent="0.15">
      <c r="E789" s="61"/>
      <c r="F789" s="61"/>
      <c r="G789" s="61"/>
      <c r="H789" s="61"/>
      <c r="I789" s="61"/>
    </row>
    <row r="790" spans="5:9" ht="13" x14ac:dyDescent="0.15">
      <c r="E790" s="61"/>
      <c r="F790" s="61"/>
      <c r="G790" s="61"/>
      <c r="H790" s="61"/>
      <c r="I790" s="61"/>
    </row>
    <row r="791" spans="5:9" ht="13" x14ac:dyDescent="0.15">
      <c r="E791" s="61"/>
      <c r="F791" s="61"/>
      <c r="G791" s="61"/>
      <c r="H791" s="61"/>
      <c r="I791" s="61"/>
    </row>
    <row r="792" spans="5:9" ht="13" x14ac:dyDescent="0.15">
      <c r="E792" s="61"/>
      <c r="F792" s="61"/>
      <c r="G792" s="61"/>
      <c r="H792" s="61"/>
      <c r="I792" s="61"/>
    </row>
    <row r="793" spans="5:9" ht="13" x14ac:dyDescent="0.15">
      <c r="E793" s="61"/>
      <c r="F793" s="61"/>
      <c r="G793" s="61"/>
      <c r="H793" s="61"/>
      <c r="I793" s="61"/>
    </row>
    <row r="794" spans="5:9" ht="13" x14ac:dyDescent="0.15">
      <c r="E794" s="61"/>
      <c r="F794" s="61"/>
      <c r="G794" s="61"/>
      <c r="H794" s="61"/>
      <c r="I794" s="61"/>
    </row>
    <row r="795" spans="5:9" ht="13" x14ac:dyDescent="0.15">
      <c r="E795" s="61"/>
      <c r="F795" s="61"/>
      <c r="G795" s="61"/>
      <c r="H795" s="61"/>
      <c r="I795" s="61"/>
    </row>
    <row r="796" spans="5:9" ht="13" x14ac:dyDescent="0.15">
      <c r="E796" s="61"/>
      <c r="F796" s="61"/>
      <c r="G796" s="61"/>
      <c r="H796" s="61"/>
      <c r="I796" s="61"/>
    </row>
    <row r="797" spans="5:9" ht="13" x14ac:dyDescent="0.15">
      <c r="E797" s="61"/>
      <c r="F797" s="61"/>
      <c r="G797" s="61"/>
      <c r="H797" s="61"/>
      <c r="I797" s="61"/>
    </row>
    <row r="798" spans="5:9" ht="13" x14ac:dyDescent="0.15">
      <c r="E798" s="61"/>
      <c r="F798" s="61"/>
      <c r="G798" s="61"/>
      <c r="H798" s="61"/>
      <c r="I798" s="61"/>
    </row>
    <row r="799" spans="5:9" ht="13" x14ac:dyDescent="0.15">
      <c r="E799" s="61"/>
      <c r="F799" s="61"/>
      <c r="G799" s="61"/>
      <c r="H799" s="61"/>
      <c r="I799" s="61"/>
    </row>
    <row r="800" spans="5:9" ht="13" x14ac:dyDescent="0.15">
      <c r="E800" s="61"/>
      <c r="F800" s="61"/>
      <c r="G800" s="61"/>
      <c r="H800" s="61"/>
      <c r="I800" s="61"/>
    </row>
    <row r="801" spans="5:9" ht="13" x14ac:dyDescent="0.15">
      <c r="E801" s="61"/>
      <c r="F801" s="61"/>
      <c r="G801" s="61"/>
      <c r="H801" s="61"/>
      <c r="I801" s="61"/>
    </row>
    <row r="802" spans="5:9" ht="13" x14ac:dyDescent="0.15">
      <c r="E802" s="61"/>
      <c r="F802" s="61"/>
      <c r="G802" s="61"/>
      <c r="H802" s="61"/>
      <c r="I802" s="61"/>
    </row>
    <row r="803" spans="5:9" ht="13" x14ac:dyDescent="0.15">
      <c r="E803" s="61"/>
      <c r="F803" s="61"/>
      <c r="G803" s="61"/>
      <c r="H803" s="61"/>
      <c r="I803" s="61"/>
    </row>
    <row r="804" spans="5:9" ht="13" x14ac:dyDescent="0.15">
      <c r="E804" s="61"/>
      <c r="F804" s="61"/>
      <c r="G804" s="61"/>
      <c r="H804" s="61"/>
      <c r="I804" s="61"/>
    </row>
    <row r="805" spans="5:9" ht="13" x14ac:dyDescent="0.15">
      <c r="E805" s="61"/>
      <c r="F805" s="61"/>
      <c r="G805" s="61"/>
      <c r="H805" s="61"/>
      <c r="I805" s="61"/>
    </row>
    <row r="806" spans="5:9" ht="13" x14ac:dyDescent="0.15">
      <c r="E806" s="61"/>
      <c r="F806" s="61"/>
      <c r="G806" s="61"/>
      <c r="H806" s="61"/>
      <c r="I806" s="61"/>
    </row>
    <row r="807" spans="5:9" ht="13" x14ac:dyDescent="0.15">
      <c r="E807" s="61"/>
      <c r="F807" s="61"/>
      <c r="G807" s="61"/>
      <c r="H807" s="61"/>
      <c r="I807" s="61"/>
    </row>
    <row r="808" spans="5:9" ht="13" x14ac:dyDescent="0.15">
      <c r="E808" s="61"/>
      <c r="F808" s="61"/>
      <c r="G808" s="61"/>
      <c r="H808" s="61"/>
      <c r="I808" s="61"/>
    </row>
    <row r="809" spans="5:9" ht="13" x14ac:dyDescent="0.15">
      <c r="E809" s="61"/>
      <c r="F809" s="61"/>
      <c r="G809" s="61"/>
      <c r="H809" s="61"/>
      <c r="I809" s="61"/>
    </row>
    <row r="810" spans="5:9" ht="13" x14ac:dyDescent="0.15">
      <c r="E810" s="61"/>
      <c r="F810" s="61"/>
      <c r="G810" s="61"/>
      <c r="H810" s="61"/>
      <c r="I810" s="61"/>
    </row>
    <row r="811" spans="5:9" ht="13" x14ac:dyDescent="0.15">
      <c r="E811" s="61"/>
      <c r="F811" s="61"/>
      <c r="G811" s="61"/>
      <c r="H811" s="61"/>
      <c r="I811" s="61"/>
    </row>
    <row r="812" spans="5:9" ht="13" x14ac:dyDescent="0.15">
      <c r="E812" s="61"/>
      <c r="F812" s="61"/>
      <c r="G812" s="61"/>
      <c r="H812" s="61"/>
      <c r="I812" s="61"/>
    </row>
    <row r="813" spans="5:9" ht="13" x14ac:dyDescent="0.15">
      <c r="E813" s="61"/>
      <c r="F813" s="61"/>
      <c r="G813" s="61"/>
      <c r="H813" s="61"/>
      <c r="I813" s="61"/>
    </row>
    <row r="814" spans="5:9" ht="13" x14ac:dyDescent="0.15">
      <c r="E814" s="61"/>
      <c r="F814" s="61"/>
      <c r="G814" s="61"/>
      <c r="H814" s="61"/>
      <c r="I814" s="61"/>
    </row>
    <row r="815" spans="5:9" ht="13" x14ac:dyDescent="0.15">
      <c r="E815" s="61"/>
      <c r="F815" s="61"/>
      <c r="G815" s="61"/>
      <c r="H815" s="61"/>
      <c r="I815" s="61"/>
    </row>
    <row r="816" spans="5:9" ht="13" x14ac:dyDescent="0.15">
      <c r="E816" s="61"/>
      <c r="F816" s="61"/>
      <c r="G816" s="61"/>
      <c r="H816" s="61"/>
      <c r="I816" s="61"/>
    </row>
    <row r="817" spans="5:9" ht="13" x14ac:dyDescent="0.15">
      <c r="E817" s="61"/>
      <c r="F817" s="61"/>
      <c r="G817" s="61"/>
      <c r="H817" s="61"/>
      <c r="I817" s="61"/>
    </row>
    <row r="818" spans="5:9" ht="13" x14ac:dyDescent="0.15">
      <c r="E818" s="61"/>
      <c r="F818" s="61"/>
      <c r="G818" s="61"/>
      <c r="H818" s="61"/>
      <c r="I818" s="61"/>
    </row>
    <row r="819" spans="5:9" ht="13" x14ac:dyDescent="0.15">
      <c r="E819" s="61"/>
      <c r="F819" s="61"/>
      <c r="G819" s="61"/>
      <c r="H819" s="61"/>
      <c r="I819" s="61"/>
    </row>
    <row r="820" spans="5:9" ht="13" x14ac:dyDescent="0.15">
      <c r="E820" s="61"/>
      <c r="F820" s="61"/>
      <c r="G820" s="61"/>
      <c r="H820" s="61"/>
      <c r="I820" s="61"/>
    </row>
    <row r="821" spans="5:9" ht="13" x14ac:dyDescent="0.15">
      <c r="E821" s="61"/>
      <c r="F821" s="61"/>
      <c r="G821" s="61"/>
      <c r="H821" s="61"/>
      <c r="I821" s="61"/>
    </row>
    <row r="822" spans="5:9" ht="13" x14ac:dyDescent="0.15">
      <c r="E822" s="61"/>
      <c r="F822" s="61"/>
      <c r="G822" s="61"/>
      <c r="H822" s="61"/>
      <c r="I822" s="61"/>
    </row>
    <row r="823" spans="5:9" ht="13" x14ac:dyDescent="0.15">
      <c r="E823" s="61"/>
      <c r="F823" s="61"/>
      <c r="G823" s="61"/>
      <c r="H823" s="61"/>
      <c r="I823" s="61"/>
    </row>
    <row r="824" spans="5:9" ht="13" x14ac:dyDescent="0.15">
      <c r="E824" s="61"/>
      <c r="F824" s="61"/>
      <c r="G824" s="61"/>
      <c r="H824" s="61"/>
      <c r="I824" s="61"/>
    </row>
    <row r="825" spans="5:9" ht="13" x14ac:dyDescent="0.15">
      <c r="E825" s="61"/>
      <c r="F825" s="61"/>
      <c r="G825" s="61"/>
      <c r="H825" s="61"/>
      <c r="I825" s="61"/>
    </row>
    <row r="826" spans="5:9" ht="13" x14ac:dyDescent="0.15">
      <c r="E826" s="61"/>
      <c r="F826" s="61"/>
      <c r="G826" s="61"/>
      <c r="H826" s="61"/>
      <c r="I826" s="61"/>
    </row>
    <row r="827" spans="5:9" ht="13" x14ac:dyDescent="0.15">
      <c r="E827" s="61"/>
      <c r="F827" s="61"/>
      <c r="G827" s="61"/>
      <c r="H827" s="61"/>
      <c r="I827" s="61"/>
    </row>
    <row r="828" spans="5:9" ht="13" x14ac:dyDescent="0.15">
      <c r="E828" s="61"/>
      <c r="F828" s="61"/>
      <c r="G828" s="61"/>
      <c r="H828" s="61"/>
      <c r="I828" s="61"/>
    </row>
    <row r="829" spans="5:9" ht="13" x14ac:dyDescent="0.15">
      <c r="E829" s="61"/>
      <c r="F829" s="61"/>
      <c r="G829" s="61"/>
      <c r="H829" s="61"/>
      <c r="I829" s="61"/>
    </row>
    <row r="830" spans="5:9" ht="13" x14ac:dyDescent="0.15">
      <c r="E830" s="61"/>
      <c r="F830" s="61"/>
      <c r="G830" s="61"/>
      <c r="H830" s="61"/>
      <c r="I830" s="61"/>
    </row>
    <row r="831" spans="5:9" ht="13" x14ac:dyDescent="0.15">
      <c r="E831" s="61"/>
      <c r="F831" s="61"/>
      <c r="G831" s="61"/>
      <c r="H831" s="61"/>
      <c r="I831" s="61"/>
    </row>
    <row r="832" spans="5:9" ht="13" x14ac:dyDescent="0.15">
      <c r="E832" s="61"/>
      <c r="F832" s="61"/>
      <c r="G832" s="61"/>
      <c r="H832" s="61"/>
      <c r="I832" s="61"/>
    </row>
    <row r="833" spans="5:9" ht="13" x14ac:dyDescent="0.15">
      <c r="E833" s="61"/>
      <c r="F833" s="61"/>
      <c r="G833" s="61"/>
      <c r="H833" s="61"/>
      <c r="I833" s="61"/>
    </row>
    <row r="834" spans="5:9" ht="13" x14ac:dyDescent="0.15">
      <c r="E834" s="61"/>
      <c r="F834" s="61"/>
      <c r="G834" s="61"/>
      <c r="H834" s="61"/>
      <c r="I834" s="61"/>
    </row>
    <row r="835" spans="5:9" ht="13" x14ac:dyDescent="0.15">
      <c r="E835" s="61"/>
      <c r="F835" s="61"/>
      <c r="G835" s="61"/>
      <c r="H835" s="61"/>
      <c r="I835" s="61"/>
    </row>
    <row r="836" spans="5:9" ht="13" x14ac:dyDescent="0.15">
      <c r="E836" s="61"/>
      <c r="F836" s="61"/>
      <c r="G836" s="61"/>
      <c r="H836" s="61"/>
      <c r="I836" s="61"/>
    </row>
    <row r="837" spans="5:9" ht="13" x14ac:dyDescent="0.15">
      <c r="E837" s="61"/>
      <c r="F837" s="61"/>
      <c r="G837" s="61"/>
      <c r="H837" s="61"/>
      <c r="I837" s="61"/>
    </row>
    <row r="838" spans="5:9" ht="13" x14ac:dyDescent="0.15">
      <c r="E838" s="61"/>
      <c r="F838" s="61"/>
      <c r="G838" s="61"/>
      <c r="H838" s="61"/>
      <c r="I838" s="61"/>
    </row>
    <row r="839" spans="5:9" ht="13" x14ac:dyDescent="0.15">
      <c r="E839" s="61"/>
      <c r="F839" s="61"/>
      <c r="G839" s="61"/>
      <c r="H839" s="61"/>
      <c r="I839" s="61"/>
    </row>
    <row r="840" spans="5:9" ht="13" x14ac:dyDescent="0.15">
      <c r="E840" s="61"/>
      <c r="F840" s="61"/>
      <c r="G840" s="61"/>
      <c r="H840" s="61"/>
      <c r="I840" s="61"/>
    </row>
    <row r="841" spans="5:9" ht="13" x14ac:dyDescent="0.15">
      <c r="E841" s="61"/>
      <c r="F841" s="61"/>
      <c r="G841" s="61"/>
      <c r="H841" s="61"/>
      <c r="I841" s="61"/>
    </row>
    <row r="842" spans="5:9" ht="13" x14ac:dyDescent="0.15">
      <c r="E842" s="61"/>
      <c r="F842" s="61"/>
      <c r="G842" s="61"/>
      <c r="H842" s="61"/>
      <c r="I842" s="61"/>
    </row>
    <row r="843" spans="5:9" ht="13" x14ac:dyDescent="0.15">
      <c r="E843" s="61"/>
      <c r="F843" s="61"/>
      <c r="G843" s="61"/>
      <c r="H843" s="61"/>
      <c r="I843" s="61"/>
    </row>
    <row r="844" spans="5:9" ht="13" x14ac:dyDescent="0.15">
      <c r="E844" s="61"/>
      <c r="F844" s="61"/>
      <c r="G844" s="61"/>
      <c r="H844" s="61"/>
      <c r="I844" s="61"/>
    </row>
    <row r="845" spans="5:9" ht="13" x14ac:dyDescent="0.15">
      <c r="E845" s="61"/>
      <c r="F845" s="61"/>
      <c r="G845" s="61"/>
      <c r="H845" s="61"/>
      <c r="I845" s="61"/>
    </row>
    <row r="846" spans="5:9" ht="13" x14ac:dyDescent="0.15">
      <c r="E846" s="61"/>
      <c r="F846" s="61"/>
      <c r="G846" s="61"/>
      <c r="H846" s="61"/>
      <c r="I846" s="61"/>
    </row>
    <row r="847" spans="5:9" ht="13" x14ac:dyDescent="0.15">
      <c r="E847" s="61"/>
      <c r="F847" s="61"/>
      <c r="G847" s="61"/>
      <c r="H847" s="61"/>
      <c r="I847" s="61"/>
    </row>
    <row r="848" spans="5:9" ht="13" x14ac:dyDescent="0.15">
      <c r="E848" s="61"/>
      <c r="F848" s="61"/>
      <c r="G848" s="61"/>
      <c r="H848" s="61"/>
      <c r="I848" s="61"/>
    </row>
    <row r="849" spans="5:9" ht="13" x14ac:dyDescent="0.15">
      <c r="E849" s="61"/>
      <c r="F849" s="61"/>
      <c r="G849" s="61"/>
      <c r="H849" s="61"/>
      <c r="I849" s="61"/>
    </row>
    <row r="850" spans="5:9" ht="13" x14ac:dyDescent="0.15">
      <c r="E850" s="61"/>
      <c r="F850" s="61"/>
      <c r="G850" s="61"/>
      <c r="H850" s="61"/>
      <c r="I850" s="61"/>
    </row>
    <row r="851" spans="5:9" ht="13" x14ac:dyDescent="0.15">
      <c r="E851" s="61"/>
      <c r="F851" s="61"/>
      <c r="G851" s="61"/>
      <c r="H851" s="61"/>
      <c r="I851" s="61"/>
    </row>
    <row r="852" spans="5:9" ht="13" x14ac:dyDescent="0.15">
      <c r="E852" s="61"/>
      <c r="F852" s="61"/>
      <c r="G852" s="61"/>
      <c r="H852" s="61"/>
      <c r="I852" s="61"/>
    </row>
    <row r="853" spans="5:9" ht="13" x14ac:dyDescent="0.15">
      <c r="E853" s="61"/>
      <c r="F853" s="61"/>
      <c r="G853" s="61"/>
      <c r="H853" s="61"/>
      <c r="I853" s="61"/>
    </row>
    <row r="854" spans="5:9" ht="13" x14ac:dyDescent="0.15">
      <c r="E854" s="61"/>
      <c r="F854" s="61"/>
      <c r="G854" s="61"/>
      <c r="H854" s="61"/>
      <c r="I854" s="61"/>
    </row>
    <row r="855" spans="5:9" ht="13" x14ac:dyDescent="0.15">
      <c r="E855" s="61"/>
      <c r="F855" s="61"/>
      <c r="G855" s="61"/>
      <c r="H855" s="61"/>
      <c r="I855" s="61"/>
    </row>
    <row r="856" spans="5:9" ht="13" x14ac:dyDescent="0.15">
      <c r="E856" s="61"/>
      <c r="F856" s="61"/>
      <c r="G856" s="61"/>
      <c r="H856" s="61"/>
      <c r="I856" s="61"/>
    </row>
    <row r="857" spans="5:9" ht="13" x14ac:dyDescent="0.15">
      <c r="E857" s="61"/>
      <c r="F857" s="61"/>
      <c r="G857" s="61"/>
      <c r="H857" s="61"/>
      <c r="I857" s="61"/>
    </row>
    <row r="858" spans="5:9" ht="13" x14ac:dyDescent="0.15">
      <c r="E858" s="61"/>
      <c r="F858" s="61"/>
      <c r="G858" s="61"/>
      <c r="H858" s="61"/>
      <c r="I858" s="61"/>
    </row>
    <row r="859" spans="5:9" ht="13" x14ac:dyDescent="0.15">
      <c r="E859" s="61"/>
      <c r="F859" s="61"/>
      <c r="G859" s="61"/>
      <c r="H859" s="61"/>
      <c r="I859" s="61"/>
    </row>
    <row r="860" spans="5:9" ht="13" x14ac:dyDescent="0.15">
      <c r="E860" s="61"/>
      <c r="F860" s="61"/>
      <c r="G860" s="61"/>
      <c r="H860" s="61"/>
      <c r="I860" s="61"/>
    </row>
    <row r="861" spans="5:9" ht="13" x14ac:dyDescent="0.15">
      <c r="E861" s="61"/>
      <c r="F861" s="61"/>
      <c r="G861" s="61"/>
      <c r="H861" s="61"/>
      <c r="I861" s="61"/>
    </row>
    <row r="862" spans="5:9" ht="13" x14ac:dyDescent="0.15">
      <c r="E862" s="61"/>
      <c r="F862" s="61"/>
      <c r="G862" s="61"/>
      <c r="H862" s="61"/>
      <c r="I862" s="61"/>
    </row>
    <row r="863" spans="5:9" ht="13" x14ac:dyDescent="0.15">
      <c r="E863" s="61"/>
      <c r="F863" s="61"/>
      <c r="G863" s="61"/>
      <c r="H863" s="61"/>
      <c r="I863" s="61"/>
    </row>
    <row r="864" spans="5:9" ht="13" x14ac:dyDescent="0.15">
      <c r="E864" s="61"/>
      <c r="F864" s="61"/>
      <c r="G864" s="61"/>
      <c r="H864" s="61"/>
      <c r="I864" s="61"/>
    </row>
    <row r="865" spans="5:9" ht="13" x14ac:dyDescent="0.15">
      <c r="E865" s="61"/>
      <c r="F865" s="61"/>
      <c r="G865" s="61"/>
      <c r="H865" s="61"/>
      <c r="I865" s="61"/>
    </row>
    <row r="866" spans="5:9" ht="13" x14ac:dyDescent="0.15">
      <c r="E866" s="61"/>
      <c r="F866" s="61"/>
      <c r="G866" s="61"/>
      <c r="H866" s="61"/>
      <c r="I866" s="61"/>
    </row>
    <row r="867" spans="5:9" ht="13" x14ac:dyDescent="0.15">
      <c r="E867" s="61"/>
      <c r="F867" s="61"/>
      <c r="G867" s="61"/>
      <c r="H867" s="61"/>
      <c r="I867" s="61"/>
    </row>
    <row r="868" spans="5:9" ht="13" x14ac:dyDescent="0.15">
      <c r="E868" s="61"/>
      <c r="F868" s="61"/>
      <c r="G868" s="61"/>
      <c r="H868" s="61"/>
      <c r="I868" s="61"/>
    </row>
    <row r="869" spans="5:9" ht="13" x14ac:dyDescent="0.15">
      <c r="E869" s="61"/>
      <c r="F869" s="61"/>
      <c r="G869" s="61"/>
      <c r="H869" s="61"/>
      <c r="I869" s="61"/>
    </row>
    <row r="870" spans="5:9" ht="13" x14ac:dyDescent="0.15">
      <c r="E870" s="61"/>
      <c r="F870" s="61"/>
      <c r="G870" s="61"/>
      <c r="H870" s="61"/>
      <c r="I870" s="61"/>
    </row>
    <row r="871" spans="5:9" ht="13" x14ac:dyDescent="0.15">
      <c r="E871" s="61"/>
      <c r="F871" s="61"/>
      <c r="G871" s="61"/>
      <c r="H871" s="61"/>
      <c r="I871" s="61"/>
    </row>
    <row r="872" spans="5:9" ht="13" x14ac:dyDescent="0.15">
      <c r="E872" s="61"/>
      <c r="F872" s="61"/>
      <c r="G872" s="61"/>
      <c r="H872" s="61"/>
      <c r="I872" s="61"/>
    </row>
    <row r="873" spans="5:9" ht="13" x14ac:dyDescent="0.15">
      <c r="E873" s="61"/>
      <c r="F873" s="61"/>
      <c r="G873" s="61"/>
      <c r="H873" s="61"/>
      <c r="I873" s="61"/>
    </row>
    <row r="874" spans="5:9" ht="13" x14ac:dyDescent="0.15">
      <c r="E874" s="61"/>
      <c r="F874" s="61"/>
      <c r="G874" s="61"/>
      <c r="H874" s="61"/>
      <c r="I874" s="61"/>
    </row>
    <row r="875" spans="5:9" ht="13" x14ac:dyDescent="0.15">
      <c r="E875" s="61"/>
      <c r="F875" s="61"/>
      <c r="G875" s="61"/>
      <c r="H875" s="61"/>
      <c r="I875" s="61"/>
    </row>
    <row r="876" spans="5:9" ht="13" x14ac:dyDescent="0.15">
      <c r="E876" s="61"/>
      <c r="F876" s="61"/>
      <c r="G876" s="61"/>
      <c r="H876" s="61"/>
      <c r="I876" s="61"/>
    </row>
    <row r="877" spans="5:9" ht="13" x14ac:dyDescent="0.15">
      <c r="E877" s="61"/>
      <c r="F877" s="61"/>
      <c r="G877" s="61"/>
      <c r="H877" s="61"/>
      <c r="I877" s="61"/>
    </row>
    <row r="878" spans="5:9" ht="13" x14ac:dyDescent="0.15">
      <c r="E878" s="61"/>
      <c r="F878" s="61"/>
      <c r="G878" s="61"/>
      <c r="H878" s="61"/>
      <c r="I878" s="61"/>
    </row>
    <row r="879" spans="5:9" ht="13" x14ac:dyDescent="0.15">
      <c r="E879" s="61"/>
      <c r="F879" s="61"/>
      <c r="G879" s="61"/>
      <c r="H879" s="61"/>
      <c r="I879" s="61"/>
    </row>
    <row r="880" spans="5:9" ht="13" x14ac:dyDescent="0.15">
      <c r="E880" s="61"/>
      <c r="F880" s="61"/>
      <c r="G880" s="61"/>
      <c r="H880" s="61"/>
      <c r="I880" s="61"/>
    </row>
    <row r="881" spans="5:9" ht="13" x14ac:dyDescent="0.15">
      <c r="E881" s="61"/>
      <c r="F881" s="61"/>
      <c r="G881" s="61"/>
      <c r="H881" s="61"/>
      <c r="I881" s="61"/>
    </row>
    <row r="882" spans="5:9" ht="13" x14ac:dyDescent="0.15">
      <c r="E882" s="61"/>
      <c r="F882" s="61"/>
      <c r="G882" s="61"/>
      <c r="H882" s="61"/>
      <c r="I882" s="61"/>
    </row>
    <row r="883" spans="5:9" ht="13" x14ac:dyDescent="0.15">
      <c r="E883" s="61"/>
      <c r="F883" s="61"/>
      <c r="G883" s="61"/>
      <c r="H883" s="61"/>
      <c r="I883" s="61"/>
    </row>
    <row r="884" spans="5:9" ht="13" x14ac:dyDescent="0.15">
      <c r="E884" s="61"/>
      <c r="F884" s="61"/>
      <c r="G884" s="61"/>
      <c r="H884" s="61"/>
      <c r="I884" s="61"/>
    </row>
    <row r="885" spans="5:9" ht="13" x14ac:dyDescent="0.15">
      <c r="E885" s="61"/>
      <c r="F885" s="61"/>
      <c r="G885" s="61"/>
      <c r="H885" s="61"/>
      <c r="I885" s="61"/>
    </row>
    <row r="886" spans="5:9" ht="13" x14ac:dyDescent="0.15">
      <c r="E886" s="61"/>
      <c r="F886" s="61"/>
      <c r="G886" s="61"/>
      <c r="H886" s="61"/>
      <c r="I886" s="61"/>
    </row>
    <row r="887" spans="5:9" ht="13" x14ac:dyDescent="0.15">
      <c r="E887" s="61"/>
      <c r="F887" s="61"/>
      <c r="G887" s="61"/>
      <c r="H887" s="61"/>
      <c r="I887" s="61"/>
    </row>
    <row r="888" spans="5:9" ht="13" x14ac:dyDescent="0.15">
      <c r="E888" s="61"/>
      <c r="F888" s="61"/>
      <c r="G888" s="61"/>
      <c r="H888" s="61"/>
      <c r="I888" s="61"/>
    </row>
    <row r="889" spans="5:9" ht="13" x14ac:dyDescent="0.15">
      <c r="E889" s="61"/>
      <c r="F889" s="61"/>
      <c r="G889" s="61"/>
      <c r="H889" s="61"/>
      <c r="I889" s="61"/>
    </row>
    <row r="890" spans="5:9" ht="13" x14ac:dyDescent="0.15">
      <c r="E890" s="61"/>
      <c r="F890" s="61"/>
      <c r="G890" s="61"/>
      <c r="H890" s="61"/>
      <c r="I890" s="61"/>
    </row>
    <row r="891" spans="5:9" ht="13" x14ac:dyDescent="0.15">
      <c r="E891" s="61"/>
      <c r="F891" s="61"/>
      <c r="G891" s="61"/>
      <c r="H891" s="61"/>
      <c r="I891" s="61"/>
    </row>
    <row r="892" spans="5:9" ht="13" x14ac:dyDescent="0.15">
      <c r="E892" s="61"/>
      <c r="F892" s="61"/>
      <c r="G892" s="61"/>
      <c r="H892" s="61"/>
      <c r="I892" s="61"/>
    </row>
    <row r="893" spans="5:9" ht="13" x14ac:dyDescent="0.15">
      <c r="E893" s="61"/>
      <c r="F893" s="61"/>
      <c r="G893" s="61"/>
      <c r="H893" s="61"/>
      <c r="I893" s="61"/>
    </row>
    <row r="894" spans="5:9" ht="13" x14ac:dyDescent="0.15">
      <c r="E894" s="61"/>
      <c r="F894" s="61"/>
      <c r="G894" s="61"/>
      <c r="H894" s="61"/>
      <c r="I894" s="61"/>
    </row>
    <row r="895" spans="5:9" ht="13" x14ac:dyDescent="0.15">
      <c r="E895" s="61"/>
      <c r="F895" s="61"/>
      <c r="G895" s="61"/>
      <c r="H895" s="61"/>
      <c r="I895" s="61"/>
    </row>
    <row r="896" spans="5:9" ht="13" x14ac:dyDescent="0.15">
      <c r="E896" s="61"/>
      <c r="F896" s="61"/>
      <c r="G896" s="61"/>
      <c r="H896" s="61"/>
      <c r="I896" s="61"/>
    </row>
    <row r="897" spans="5:9" ht="13" x14ac:dyDescent="0.15">
      <c r="E897" s="61"/>
      <c r="F897" s="61"/>
      <c r="G897" s="61"/>
      <c r="H897" s="61"/>
      <c r="I897" s="61"/>
    </row>
    <row r="898" spans="5:9" ht="13" x14ac:dyDescent="0.15">
      <c r="E898" s="61"/>
      <c r="F898" s="61"/>
      <c r="G898" s="61"/>
      <c r="H898" s="61"/>
      <c r="I898" s="61"/>
    </row>
    <row r="899" spans="5:9" ht="13" x14ac:dyDescent="0.15">
      <c r="E899" s="61"/>
      <c r="F899" s="61"/>
      <c r="G899" s="61"/>
      <c r="H899" s="61"/>
      <c r="I899" s="61"/>
    </row>
    <row r="900" spans="5:9" ht="13" x14ac:dyDescent="0.15">
      <c r="E900" s="61"/>
      <c r="F900" s="61"/>
      <c r="G900" s="61"/>
      <c r="H900" s="61"/>
      <c r="I900" s="61"/>
    </row>
    <row r="901" spans="5:9" ht="13" x14ac:dyDescent="0.15">
      <c r="E901" s="61"/>
      <c r="F901" s="61"/>
      <c r="G901" s="61"/>
      <c r="H901" s="61"/>
      <c r="I901" s="61"/>
    </row>
    <row r="902" spans="5:9" ht="13" x14ac:dyDescent="0.15">
      <c r="E902" s="61"/>
      <c r="F902" s="61"/>
      <c r="G902" s="61"/>
      <c r="H902" s="61"/>
      <c r="I902" s="61"/>
    </row>
    <row r="903" spans="5:9" ht="13" x14ac:dyDescent="0.15">
      <c r="E903" s="61"/>
      <c r="F903" s="61"/>
      <c r="G903" s="61"/>
      <c r="H903" s="61"/>
      <c r="I903" s="61"/>
    </row>
    <row r="904" spans="5:9" ht="13" x14ac:dyDescent="0.15">
      <c r="E904" s="61"/>
      <c r="F904" s="61"/>
      <c r="G904" s="61"/>
      <c r="H904" s="61"/>
      <c r="I904" s="61"/>
    </row>
    <row r="905" spans="5:9" ht="13" x14ac:dyDescent="0.15">
      <c r="E905" s="61"/>
      <c r="F905" s="61"/>
      <c r="G905" s="61"/>
      <c r="H905" s="61"/>
      <c r="I905" s="61"/>
    </row>
    <row r="906" spans="5:9" ht="13" x14ac:dyDescent="0.15">
      <c r="E906" s="61"/>
      <c r="F906" s="61"/>
      <c r="G906" s="61"/>
      <c r="H906" s="61"/>
      <c r="I906" s="61"/>
    </row>
    <row r="907" spans="5:9" ht="13" x14ac:dyDescent="0.15">
      <c r="E907" s="61"/>
      <c r="F907" s="61"/>
      <c r="G907" s="61"/>
      <c r="H907" s="61"/>
      <c r="I907" s="61"/>
    </row>
    <row r="908" spans="5:9" ht="13" x14ac:dyDescent="0.15">
      <c r="E908" s="61"/>
      <c r="F908" s="61"/>
      <c r="G908" s="61"/>
      <c r="H908" s="61"/>
      <c r="I908" s="61"/>
    </row>
    <row r="909" spans="5:9" ht="13" x14ac:dyDescent="0.15">
      <c r="E909" s="61"/>
      <c r="F909" s="61"/>
      <c r="G909" s="61"/>
      <c r="H909" s="61"/>
      <c r="I909" s="61"/>
    </row>
    <row r="910" spans="5:9" ht="13" x14ac:dyDescent="0.15">
      <c r="E910" s="61"/>
      <c r="F910" s="61"/>
      <c r="G910" s="61"/>
      <c r="H910" s="61"/>
      <c r="I910" s="61"/>
    </row>
    <row r="911" spans="5:9" ht="13" x14ac:dyDescent="0.15">
      <c r="E911" s="61"/>
      <c r="F911" s="61"/>
      <c r="G911" s="61"/>
      <c r="H911" s="61"/>
      <c r="I911" s="61"/>
    </row>
    <row r="912" spans="5:9" ht="13" x14ac:dyDescent="0.15">
      <c r="E912" s="61"/>
      <c r="F912" s="61"/>
      <c r="G912" s="61"/>
      <c r="H912" s="61"/>
      <c r="I912" s="61"/>
    </row>
    <row r="913" spans="5:9" ht="13" x14ac:dyDescent="0.15">
      <c r="E913" s="61"/>
      <c r="F913" s="61"/>
      <c r="G913" s="61"/>
      <c r="H913" s="61"/>
      <c r="I913" s="61"/>
    </row>
    <row r="914" spans="5:9" ht="13" x14ac:dyDescent="0.15">
      <c r="E914" s="61"/>
      <c r="F914" s="61"/>
      <c r="G914" s="61"/>
      <c r="H914" s="61"/>
      <c r="I914" s="61"/>
    </row>
    <row r="915" spans="5:9" ht="13" x14ac:dyDescent="0.15">
      <c r="E915" s="61"/>
      <c r="F915" s="61"/>
      <c r="G915" s="61"/>
      <c r="H915" s="61"/>
      <c r="I915" s="61"/>
    </row>
    <row r="916" spans="5:9" ht="13" x14ac:dyDescent="0.15">
      <c r="E916" s="61"/>
      <c r="F916" s="61"/>
      <c r="G916" s="61"/>
      <c r="H916" s="61"/>
      <c r="I916" s="61"/>
    </row>
    <row r="917" spans="5:9" ht="13" x14ac:dyDescent="0.15">
      <c r="E917" s="61"/>
      <c r="F917" s="61"/>
      <c r="G917" s="61"/>
      <c r="H917" s="61"/>
      <c r="I917" s="61"/>
    </row>
    <row r="918" spans="5:9" ht="13" x14ac:dyDescent="0.15">
      <c r="E918" s="61"/>
      <c r="F918" s="61"/>
      <c r="G918" s="61"/>
      <c r="H918" s="61"/>
      <c r="I918" s="61"/>
    </row>
    <row r="919" spans="5:9" ht="13" x14ac:dyDescent="0.15">
      <c r="E919" s="61"/>
      <c r="F919" s="61"/>
      <c r="G919" s="61"/>
      <c r="H919" s="61"/>
      <c r="I919" s="61"/>
    </row>
    <row r="920" spans="5:9" ht="13" x14ac:dyDescent="0.15">
      <c r="E920" s="61"/>
      <c r="F920" s="61"/>
      <c r="G920" s="61"/>
      <c r="H920" s="61"/>
      <c r="I920" s="61"/>
    </row>
    <row r="921" spans="5:9" ht="13" x14ac:dyDescent="0.15">
      <c r="E921" s="61"/>
      <c r="F921" s="61"/>
      <c r="G921" s="61"/>
      <c r="H921" s="61"/>
      <c r="I921" s="61"/>
    </row>
    <row r="922" spans="5:9" ht="13" x14ac:dyDescent="0.15">
      <c r="E922" s="61"/>
      <c r="F922" s="61"/>
      <c r="G922" s="61"/>
      <c r="H922" s="61"/>
      <c r="I922" s="61"/>
    </row>
    <row r="923" spans="5:9" ht="13" x14ac:dyDescent="0.15">
      <c r="E923" s="61"/>
      <c r="F923" s="61"/>
      <c r="G923" s="61"/>
      <c r="H923" s="61"/>
      <c r="I923" s="61"/>
    </row>
    <row r="924" spans="5:9" ht="13" x14ac:dyDescent="0.15">
      <c r="E924" s="61"/>
      <c r="F924" s="61"/>
      <c r="G924" s="61"/>
      <c r="H924" s="61"/>
      <c r="I924" s="61"/>
    </row>
    <row r="925" spans="5:9" ht="13" x14ac:dyDescent="0.15">
      <c r="E925" s="61"/>
      <c r="F925" s="61"/>
      <c r="G925" s="61"/>
      <c r="H925" s="61"/>
      <c r="I925" s="61"/>
    </row>
    <row r="926" spans="5:9" ht="13" x14ac:dyDescent="0.15">
      <c r="E926" s="61"/>
      <c r="F926" s="61"/>
      <c r="G926" s="61"/>
      <c r="H926" s="61"/>
      <c r="I926" s="61"/>
    </row>
    <row r="927" spans="5:9" ht="13" x14ac:dyDescent="0.15">
      <c r="E927" s="61"/>
      <c r="F927" s="61"/>
      <c r="G927" s="61"/>
      <c r="H927" s="61"/>
      <c r="I927" s="61"/>
    </row>
    <row r="928" spans="5:9" ht="13" x14ac:dyDescent="0.15">
      <c r="E928" s="61"/>
      <c r="F928" s="61"/>
      <c r="G928" s="61"/>
      <c r="H928" s="61"/>
      <c r="I928" s="61"/>
    </row>
    <row r="929" spans="5:9" ht="13" x14ac:dyDescent="0.15">
      <c r="E929" s="61"/>
      <c r="F929" s="61"/>
      <c r="G929" s="61"/>
      <c r="H929" s="61"/>
      <c r="I929" s="61"/>
    </row>
    <row r="930" spans="5:9" ht="13" x14ac:dyDescent="0.15">
      <c r="E930" s="61"/>
      <c r="F930" s="61"/>
      <c r="G930" s="61"/>
      <c r="H930" s="61"/>
      <c r="I930" s="61"/>
    </row>
    <row r="931" spans="5:9" ht="13" x14ac:dyDescent="0.15">
      <c r="E931" s="61"/>
      <c r="F931" s="61"/>
      <c r="G931" s="61"/>
      <c r="H931" s="61"/>
      <c r="I931" s="61"/>
    </row>
    <row r="932" spans="5:9" ht="13" x14ac:dyDescent="0.15">
      <c r="E932" s="61"/>
      <c r="F932" s="61"/>
      <c r="G932" s="61"/>
      <c r="H932" s="61"/>
      <c r="I932" s="61"/>
    </row>
    <row r="933" spans="5:9" ht="13" x14ac:dyDescent="0.15">
      <c r="E933" s="61"/>
      <c r="F933" s="61"/>
      <c r="G933" s="61"/>
      <c r="H933" s="61"/>
      <c r="I933" s="61"/>
    </row>
    <row r="934" spans="5:9" ht="13" x14ac:dyDescent="0.15">
      <c r="E934" s="61"/>
      <c r="F934" s="61"/>
      <c r="G934" s="61"/>
      <c r="H934" s="61"/>
      <c r="I934" s="61"/>
    </row>
    <row r="935" spans="5:9" ht="13" x14ac:dyDescent="0.15">
      <c r="E935" s="61"/>
      <c r="F935" s="61"/>
      <c r="G935" s="61"/>
      <c r="H935" s="61"/>
      <c r="I935" s="61"/>
    </row>
    <row r="936" spans="5:9" ht="13" x14ac:dyDescent="0.15">
      <c r="E936" s="61"/>
      <c r="F936" s="61"/>
      <c r="G936" s="61"/>
      <c r="H936" s="61"/>
      <c r="I936" s="61"/>
    </row>
    <row r="937" spans="5:9" ht="13" x14ac:dyDescent="0.15">
      <c r="E937" s="61"/>
      <c r="F937" s="61"/>
      <c r="G937" s="61"/>
      <c r="H937" s="61"/>
      <c r="I937" s="61"/>
    </row>
    <row r="938" spans="5:9" ht="13" x14ac:dyDescent="0.15">
      <c r="E938" s="61"/>
      <c r="F938" s="61"/>
      <c r="G938" s="61"/>
      <c r="H938" s="61"/>
      <c r="I938" s="61"/>
    </row>
    <row r="939" spans="5:9" ht="13" x14ac:dyDescent="0.15">
      <c r="E939" s="61"/>
      <c r="F939" s="61"/>
      <c r="G939" s="61"/>
      <c r="H939" s="61"/>
      <c r="I939" s="61"/>
    </row>
    <row r="940" spans="5:9" ht="13" x14ac:dyDescent="0.15">
      <c r="E940" s="61"/>
      <c r="F940" s="61"/>
      <c r="G940" s="61"/>
      <c r="H940" s="61"/>
      <c r="I940" s="61"/>
    </row>
    <row r="941" spans="5:9" ht="13" x14ac:dyDescent="0.15">
      <c r="E941" s="61"/>
      <c r="F941" s="61"/>
      <c r="G941" s="61"/>
      <c r="H941" s="61"/>
      <c r="I941" s="61"/>
    </row>
    <row r="942" spans="5:9" ht="13" x14ac:dyDescent="0.15">
      <c r="E942" s="61"/>
      <c r="F942" s="61"/>
      <c r="G942" s="61"/>
      <c r="H942" s="61"/>
      <c r="I942" s="61"/>
    </row>
    <row r="943" spans="5:9" ht="13" x14ac:dyDescent="0.15">
      <c r="E943" s="61"/>
      <c r="F943" s="61"/>
      <c r="G943" s="61"/>
      <c r="H943" s="61"/>
      <c r="I943" s="61"/>
    </row>
    <row r="944" spans="5:9" ht="13" x14ac:dyDescent="0.15">
      <c r="E944" s="61"/>
      <c r="F944" s="61"/>
      <c r="G944" s="61"/>
      <c r="H944" s="61"/>
      <c r="I944" s="61"/>
    </row>
    <row r="945" spans="5:9" ht="13" x14ac:dyDescent="0.15">
      <c r="E945" s="61"/>
      <c r="F945" s="61"/>
      <c r="G945" s="61"/>
      <c r="H945" s="61"/>
      <c r="I945" s="61"/>
    </row>
    <row r="946" spans="5:9" ht="13" x14ac:dyDescent="0.15">
      <c r="E946" s="61"/>
      <c r="F946" s="61"/>
      <c r="G946" s="61"/>
      <c r="H946" s="61"/>
      <c r="I946" s="61"/>
    </row>
    <row r="947" spans="5:9" ht="13" x14ac:dyDescent="0.15">
      <c r="E947" s="61"/>
      <c r="F947" s="61"/>
      <c r="G947" s="61"/>
      <c r="H947" s="61"/>
      <c r="I947" s="61"/>
    </row>
    <row r="948" spans="5:9" ht="13" x14ac:dyDescent="0.15">
      <c r="E948" s="61"/>
      <c r="F948" s="61"/>
      <c r="G948" s="61"/>
      <c r="H948" s="61"/>
      <c r="I948" s="61"/>
    </row>
    <row r="949" spans="5:9" ht="13" x14ac:dyDescent="0.15">
      <c r="E949" s="61"/>
      <c r="F949" s="61"/>
      <c r="G949" s="61"/>
      <c r="H949" s="61"/>
      <c r="I949" s="61"/>
    </row>
    <row r="950" spans="5:9" ht="13" x14ac:dyDescent="0.15">
      <c r="E950" s="61"/>
      <c r="F950" s="61"/>
      <c r="G950" s="61"/>
      <c r="H950" s="61"/>
      <c r="I950" s="61"/>
    </row>
    <row r="951" spans="5:9" ht="13" x14ac:dyDescent="0.15">
      <c r="E951" s="61"/>
      <c r="F951" s="61"/>
      <c r="G951" s="61"/>
      <c r="H951" s="61"/>
      <c r="I951" s="61"/>
    </row>
    <row r="952" spans="5:9" ht="13" x14ac:dyDescent="0.15">
      <c r="E952" s="61"/>
      <c r="F952" s="61"/>
      <c r="G952" s="61"/>
      <c r="H952" s="61"/>
      <c r="I952" s="61"/>
    </row>
    <row r="953" spans="5:9" ht="13" x14ac:dyDescent="0.15">
      <c r="E953" s="61"/>
      <c r="F953" s="61"/>
      <c r="G953" s="61"/>
      <c r="H953" s="61"/>
      <c r="I953" s="61"/>
    </row>
    <row r="954" spans="5:9" ht="13" x14ac:dyDescent="0.15">
      <c r="E954" s="61"/>
      <c r="F954" s="61"/>
      <c r="G954" s="61"/>
      <c r="H954" s="61"/>
      <c r="I954" s="61"/>
    </row>
    <row r="955" spans="5:9" ht="13" x14ac:dyDescent="0.15">
      <c r="E955" s="61"/>
      <c r="F955" s="61"/>
      <c r="G955" s="61"/>
      <c r="H955" s="61"/>
      <c r="I955" s="61"/>
    </row>
    <row r="956" spans="5:9" ht="13" x14ac:dyDescent="0.15">
      <c r="E956" s="61"/>
      <c r="F956" s="61"/>
      <c r="G956" s="61"/>
      <c r="H956" s="61"/>
      <c r="I956" s="61"/>
    </row>
    <row r="957" spans="5:9" ht="13" x14ac:dyDescent="0.15">
      <c r="E957" s="61"/>
      <c r="F957" s="61"/>
      <c r="G957" s="61"/>
      <c r="H957" s="61"/>
      <c r="I957" s="61"/>
    </row>
    <row r="958" spans="5:9" ht="13" x14ac:dyDescent="0.15">
      <c r="E958" s="61"/>
      <c r="F958" s="61"/>
      <c r="G958" s="61"/>
      <c r="H958" s="61"/>
      <c r="I958" s="61"/>
    </row>
    <row r="959" spans="5:9" ht="13" x14ac:dyDescent="0.15">
      <c r="E959" s="61"/>
      <c r="F959" s="61"/>
      <c r="G959" s="61"/>
      <c r="H959" s="61"/>
      <c r="I959" s="61"/>
    </row>
    <row r="960" spans="5:9" ht="13" x14ac:dyDescent="0.15">
      <c r="E960" s="61"/>
      <c r="F960" s="61"/>
      <c r="G960" s="61"/>
      <c r="H960" s="61"/>
      <c r="I960" s="61"/>
    </row>
    <row r="961" spans="5:9" ht="13" x14ac:dyDescent="0.15">
      <c r="E961" s="61"/>
      <c r="F961" s="61"/>
      <c r="G961" s="61"/>
      <c r="H961" s="61"/>
      <c r="I961" s="61"/>
    </row>
    <row r="962" spans="5:9" ht="13" x14ac:dyDescent="0.15">
      <c r="E962" s="61"/>
      <c r="F962" s="61"/>
      <c r="G962" s="61"/>
      <c r="H962" s="61"/>
      <c r="I962" s="61"/>
    </row>
    <row r="963" spans="5:9" ht="13" x14ac:dyDescent="0.15">
      <c r="E963" s="61"/>
      <c r="F963" s="61"/>
      <c r="G963" s="61"/>
      <c r="H963" s="61"/>
      <c r="I963" s="61"/>
    </row>
    <row r="964" spans="5:9" ht="13" x14ac:dyDescent="0.15">
      <c r="E964" s="61"/>
      <c r="F964" s="61"/>
      <c r="G964" s="61"/>
      <c r="H964" s="61"/>
      <c r="I964" s="61"/>
    </row>
    <row r="965" spans="5:9" ht="13" x14ac:dyDescent="0.15">
      <c r="E965" s="61"/>
      <c r="F965" s="61"/>
      <c r="G965" s="61"/>
      <c r="H965" s="61"/>
      <c r="I965" s="61"/>
    </row>
    <row r="966" spans="5:9" ht="13" x14ac:dyDescent="0.15">
      <c r="E966" s="61"/>
      <c r="F966" s="61"/>
      <c r="G966" s="61"/>
      <c r="H966" s="61"/>
      <c r="I966" s="61"/>
    </row>
    <row r="967" spans="5:9" ht="13" x14ac:dyDescent="0.15">
      <c r="E967" s="61"/>
      <c r="F967" s="61"/>
      <c r="G967" s="61"/>
      <c r="H967" s="61"/>
      <c r="I967" s="61"/>
    </row>
    <row r="968" spans="5:9" ht="13" x14ac:dyDescent="0.15">
      <c r="E968" s="61"/>
      <c r="F968" s="61"/>
      <c r="G968" s="61"/>
      <c r="H968" s="61"/>
      <c r="I968" s="61"/>
    </row>
    <row r="969" spans="5:9" ht="13" x14ac:dyDescent="0.15">
      <c r="E969" s="61"/>
      <c r="F969" s="61"/>
      <c r="G969" s="61"/>
      <c r="H969" s="61"/>
      <c r="I969" s="61"/>
    </row>
    <row r="970" spans="5:9" ht="13" x14ac:dyDescent="0.15">
      <c r="E970" s="61"/>
      <c r="F970" s="61"/>
      <c r="G970" s="61"/>
      <c r="H970" s="61"/>
      <c r="I970" s="61"/>
    </row>
    <row r="971" spans="5:9" ht="13" x14ac:dyDescent="0.15">
      <c r="E971" s="61"/>
      <c r="F971" s="61"/>
      <c r="G971" s="61"/>
      <c r="H971" s="61"/>
      <c r="I971" s="61"/>
    </row>
    <row r="972" spans="5:9" ht="13" x14ac:dyDescent="0.15">
      <c r="E972" s="61"/>
      <c r="F972" s="61"/>
      <c r="G972" s="61"/>
      <c r="H972" s="61"/>
      <c r="I972" s="61"/>
    </row>
    <row r="973" spans="5:9" ht="13" x14ac:dyDescent="0.15">
      <c r="E973" s="61"/>
      <c r="F973" s="61"/>
      <c r="G973" s="61"/>
      <c r="H973" s="61"/>
      <c r="I973" s="61"/>
    </row>
    <row r="974" spans="5:9" ht="13" x14ac:dyDescent="0.15">
      <c r="E974" s="61"/>
      <c r="F974" s="61"/>
      <c r="G974" s="61"/>
      <c r="H974" s="61"/>
      <c r="I974" s="61"/>
    </row>
    <row r="975" spans="5:9" ht="13" x14ac:dyDescent="0.15">
      <c r="E975" s="61"/>
      <c r="F975" s="61"/>
      <c r="G975" s="61"/>
      <c r="H975" s="61"/>
      <c r="I975" s="61"/>
    </row>
    <row r="976" spans="5:9" ht="13" x14ac:dyDescent="0.15">
      <c r="E976" s="61"/>
      <c r="F976" s="61"/>
      <c r="G976" s="61"/>
      <c r="H976" s="61"/>
      <c r="I976" s="61"/>
    </row>
    <row r="977" spans="5:9" ht="13" x14ac:dyDescent="0.15">
      <c r="E977" s="61"/>
      <c r="F977" s="61"/>
      <c r="G977" s="61"/>
      <c r="H977" s="61"/>
      <c r="I977" s="61"/>
    </row>
    <row r="978" spans="5:9" ht="13" x14ac:dyDescent="0.15">
      <c r="E978" s="61"/>
      <c r="F978" s="61"/>
      <c r="G978" s="61"/>
      <c r="H978" s="61"/>
      <c r="I978" s="61"/>
    </row>
    <row r="979" spans="5:9" ht="13" x14ac:dyDescent="0.15">
      <c r="E979" s="61"/>
      <c r="F979" s="61"/>
      <c r="G979" s="61"/>
      <c r="H979" s="61"/>
      <c r="I979" s="61"/>
    </row>
    <row r="980" spans="5:9" ht="13" x14ac:dyDescent="0.15">
      <c r="E980" s="61"/>
      <c r="F980" s="61"/>
      <c r="G980" s="61"/>
      <c r="H980" s="61"/>
      <c r="I980" s="61"/>
    </row>
    <row r="981" spans="5:9" ht="13" x14ac:dyDescent="0.15">
      <c r="E981" s="61"/>
      <c r="F981" s="61"/>
      <c r="G981" s="61"/>
      <c r="H981" s="61"/>
      <c r="I981" s="61"/>
    </row>
    <row r="982" spans="5:9" ht="13" x14ac:dyDescent="0.15">
      <c r="E982" s="61"/>
      <c r="F982" s="61"/>
      <c r="G982" s="61"/>
      <c r="H982" s="61"/>
      <c r="I982" s="61"/>
    </row>
    <row r="983" spans="5:9" ht="13" x14ac:dyDescent="0.15">
      <c r="E983" s="61"/>
      <c r="F983" s="61"/>
      <c r="G983" s="61"/>
      <c r="H983" s="61"/>
      <c r="I983" s="61"/>
    </row>
    <row r="984" spans="5:9" ht="13" x14ac:dyDescent="0.15">
      <c r="E984" s="61"/>
      <c r="F984" s="61"/>
      <c r="G984" s="61"/>
      <c r="H984" s="61"/>
      <c r="I984" s="61"/>
    </row>
    <row r="985" spans="5:9" ht="13" x14ac:dyDescent="0.15">
      <c r="E985" s="61"/>
      <c r="F985" s="61"/>
      <c r="G985" s="61"/>
      <c r="H985" s="61"/>
      <c r="I985" s="61"/>
    </row>
    <row r="986" spans="5:9" ht="13" x14ac:dyDescent="0.15">
      <c r="E986" s="61"/>
      <c r="F986" s="61"/>
      <c r="G986" s="61"/>
      <c r="H986" s="61"/>
      <c r="I986" s="61"/>
    </row>
    <row r="987" spans="5:9" ht="13" x14ac:dyDescent="0.15">
      <c r="E987" s="61"/>
      <c r="F987" s="61"/>
      <c r="G987" s="61"/>
      <c r="H987" s="61"/>
      <c r="I987" s="61"/>
    </row>
    <row r="988" spans="5:9" ht="13" x14ac:dyDescent="0.15">
      <c r="E988" s="61"/>
      <c r="F988" s="61"/>
      <c r="G988" s="61"/>
      <c r="H988" s="61"/>
      <c r="I988" s="61"/>
    </row>
    <row r="989" spans="5:9" ht="13" x14ac:dyDescent="0.15">
      <c r="E989" s="61"/>
      <c r="F989" s="61"/>
      <c r="G989" s="61"/>
      <c r="H989" s="61"/>
      <c r="I989" s="61"/>
    </row>
    <row r="990" spans="5:9" ht="13" x14ac:dyDescent="0.15">
      <c r="E990" s="61"/>
      <c r="F990" s="61"/>
      <c r="G990" s="61"/>
      <c r="H990" s="61"/>
      <c r="I990" s="61"/>
    </row>
    <row r="991" spans="5:9" ht="13" x14ac:dyDescent="0.15">
      <c r="E991" s="61"/>
      <c r="F991" s="61"/>
      <c r="G991" s="61"/>
      <c r="H991" s="61"/>
      <c r="I991" s="61"/>
    </row>
    <row r="992" spans="5:9" ht="13" x14ac:dyDescent="0.15">
      <c r="E992" s="61"/>
      <c r="F992" s="61"/>
      <c r="G992" s="61"/>
      <c r="H992" s="61"/>
      <c r="I992" s="61"/>
    </row>
    <row r="993" spans="5:9" ht="13" x14ac:dyDescent="0.15">
      <c r="E993" s="61"/>
      <c r="F993" s="61"/>
      <c r="G993" s="61"/>
      <c r="H993" s="61"/>
      <c r="I993" s="61"/>
    </row>
    <row r="994" spans="5:9" ht="13" x14ac:dyDescent="0.15">
      <c r="E994" s="61"/>
      <c r="F994" s="61"/>
      <c r="G994" s="61"/>
      <c r="H994" s="61"/>
      <c r="I994" s="61"/>
    </row>
    <row r="995" spans="5:9" ht="13" x14ac:dyDescent="0.15">
      <c r="E995" s="61"/>
      <c r="F995" s="61"/>
      <c r="G995" s="61"/>
      <c r="H995" s="61"/>
      <c r="I995" s="61"/>
    </row>
    <row r="996" spans="5:9" ht="13" x14ac:dyDescent="0.15">
      <c r="E996" s="61"/>
      <c r="F996" s="61"/>
      <c r="G996" s="61"/>
      <c r="H996" s="61"/>
      <c r="I996" s="61"/>
    </row>
    <row r="997" spans="5:9" ht="13" x14ac:dyDescent="0.15">
      <c r="E997" s="61"/>
      <c r="F997" s="61"/>
      <c r="G997" s="61"/>
      <c r="H997" s="61"/>
      <c r="I997" s="61"/>
    </row>
    <row r="998" spans="5:9" ht="13" x14ac:dyDescent="0.15">
      <c r="E998" s="61"/>
      <c r="F998" s="61"/>
      <c r="G998" s="61"/>
      <c r="H998" s="61"/>
      <c r="I998" s="61"/>
    </row>
    <row r="999" spans="5:9" ht="13" x14ac:dyDescent="0.15">
      <c r="E999" s="61"/>
      <c r="F999" s="61"/>
      <c r="G999" s="61"/>
      <c r="H999" s="61"/>
      <c r="I999" s="61"/>
    </row>
    <row r="1000" spans="5:9" ht="13" x14ac:dyDescent="0.15">
      <c r="E1000" s="61"/>
      <c r="F1000" s="61"/>
      <c r="G1000" s="61"/>
      <c r="H1000" s="61"/>
      <c r="I1000" s="61"/>
    </row>
    <row r="1001" spans="5:9" ht="13" x14ac:dyDescent="0.15">
      <c r="E1001" s="61"/>
      <c r="F1001" s="61"/>
      <c r="G1001" s="61"/>
      <c r="H1001" s="61"/>
      <c r="I1001" s="61"/>
    </row>
    <row r="1002" spans="5:9" ht="13" x14ac:dyDescent="0.15">
      <c r="E1002" s="61"/>
      <c r="F1002" s="61"/>
      <c r="G1002" s="61"/>
      <c r="H1002" s="61"/>
      <c r="I1002" s="61"/>
    </row>
    <row r="1003" spans="5:9" ht="13" x14ac:dyDescent="0.15">
      <c r="E1003" s="61"/>
      <c r="F1003" s="61"/>
      <c r="G1003" s="61"/>
      <c r="H1003" s="61"/>
      <c r="I1003" s="61"/>
    </row>
    <row r="1004" spans="5:9" ht="13" x14ac:dyDescent="0.15">
      <c r="E1004" s="61"/>
      <c r="F1004" s="61"/>
      <c r="G1004" s="61"/>
      <c r="H1004" s="61"/>
      <c r="I1004" s="61"/>
    </row>
    <row r="1005" spans="5:9" ht="13" x14ac:dyDescent="0.15">
      <c r="E1005" s="61"/>
      <c r="F1005" s="61"/>
      <c r="G1005" s="61"/>
      <c r="H1005" s="61"/>
      <c r="I1005" s="61"/>
    </row>
    <row r="1006" spans="5:9" ht="13" x14ac:dyDescent="0.15">
      <c r="E1006" s="61"/>
      <c r="F1006" s="61"/>
      <c r="G1006" s="61"/>
      <c r="H1006" s="61"/>
      <c r="I1006" s="61"/>
    </row>
  </sheetData>
  <autoFilter ref="A2:AN1006" xr:uid="{00000000-0009-0000-0000-000002000000}"/>
  <conditionalFormatting sqref="B7:AW7">
    <cfRule type="containsText" dxfId="328" priority="1" operator="containsText" text="Empress">
      <formula>NOT(ISERROR(SEARCH(("Empress"),(B7))))</formula>
    </cfRule>
    <cfRule type="containsText" dxfId="327" priority="2" operator="containsText" text="Sovereign">
      <formula>NOT(ISERROR(SEARCH(("Sovereign"),(B7))))</formula>
    </cfRule>
    <cfRule type="containsText" dxfId="326" priority="3" operator="containsText" text="Seductress">
      <formula>NOT(ISERROR(SEARCH(("Seductress"),(B7))))</formula>
    </cfRule>
    <cfRule type="containsText" dxfId="325" priority="4" operator="containsText" text="Consort">
      <formula>NOT(ISERROR(SEARCH(("Consort"),(B7))))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A22"/>
  <sheetViews>
    <sheetView workbookViewId="0"/>
  </sheetViews>
  <sheetFormatPr baseColWidth="10" defaultColWidth="12.6640625" defaultRowHeight="15.75" customHeight="1" x14ac:dyDescent="0.15"/>
  <cols>
    <col min="4" max="4" width="19.1640625" customWidth="1"/>
    <col min="5" max="5" width="12.6640625" customWidth="1"/>
    <col min="6" max="6" width="13.1640625" customWidth="1"/>
    <col min="8" max="8" width="14.1640625" customWidth="1"/>
    <col min="9" max="9" width="13.83203125" customWidth="1"/>
    <col min="10" max="10" width="12.6640625" customWidth="1"/>
    <col min="13" max="13" width="50.83203125" customWidth="1"/>
  </cols>
  <sheetData>
    <row r="1" spans="1:53" ht="15.75" customHeight="1" x14ac:dyDescent="0.25">
      <c r="A1" s="69" t="s">
        <v>216</v>
      </c>
      <c r="B1" s="69" t="s">
        <v>217</v>
      </c>
      <c r="C1" s="69" t="s">
        <v>218</v>
      </c>
      <c r="D1" s="69" t="s">
        <v>15</v>
      </c>
      <c r="E1" s="70" t="s">
        <v>133</v>
      </c>
      <c r="F1" s="70" t="s">
        <v>134</v>
      </c>
      <c r="G1" s="70" t="s">
        <v>135</v>
      </c>
      <c r="H1" s="70" t="s">
        <v>136</v>
      </c>
      <c r="I1" s="70" t="s">
        <v>219</v>
      </c>
      <c r="J1" s="70" t="s">
        <v>219</v>
      </c>
      <c r="K1" s="70" t="s">
        <v>219</v>
      </c>
      <c r="L1" s="70" t="s">
        <v>219</v>
      </c>
      <c r="M1" s="70" t="s">
        <v>220</v>
      </c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</row>
    <row r="2" spans="1:53" ht="15.75" customHeight="1" x14ac:dyDescent="0.25">
      <c r="A2" s="72" t="s">
        <v>221</v>
      </c>
      <c r="B2" s="73" t="str">
        <f>'Epitome Archetype Guide'!$M2</f>
        <v>Laura</v>
      </c>
      <c r="C2" s="73" t="str">
        <f>'Epitome Archetype Guide'!$N2</f>
        <v>Taitz</v>
      </c>
      <c r="D2" s="73" t="str">
        <f>'Epitome Archetype Guide'!$P2</f>
        <v>Fraction PM</v>
      </c>
      <c r="E2" s="74">
        <f>'Response 1'!N5</f>
        <v>30</v>
      </c>
      <c r="F2" s="74">
        <f>'Response 1'!N6</f>
        <v>23</v>
      </c>
      <c r="G2" s="74">
        <f>'Response 1'!N7</f>
        <v>33</v>
      </c>
      <c r="H2" s="74">
        <f>'Response 1'!N8</f>
        <v>34</v>
      </c>
      <c r="I2" s="69" t="str">
        <f t="shared" ref="I2:I21" si="0">IF(SUM(E2:H2)&lt;&gt;0,IF(E2=MIN($E2:$H2), E$1, ""))</f>
        <v/>
      </c>
      <c r="J2" s="69" t="str">
        <f t="shared" ref="J2:J21" si="1">IF(SUM(E2:H2)&lt;&gt;0,IF(F2=MIN($E2:$H2), F$1, ""))</f>
        <v>Empress</v>
      </c>
      <c r="K2" s="69" t="str">
        <f>IF(SUM(E2:H2)&lt;&gt;0,IF(G2=MIN($E2:$H2), G$1, ""))</f>
        <v/>
      </c>
      <c r="L2" s="69" t="str">
        <f>IF(SUM(E2:H2)&lt;&gt;0,IF(H2=MIN($E2:$H2), H$1, ""))</f>
        <v/>
      </c>
      <c r="M2" s="75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</row>
    <row r="3" spans="1:53" ht="15.75" customHeight="1" x14ac:dyDescent="0.25">
      <c r="A3" s="72" t="s">
        <v>222</v>
      </c>
      <c r="B3" s="73" t="str">
        <f>'Epitome Archetype Guide'!$M3</f>
        <v>Merle</v>
      </c>
      <c r="C3" s="73" t="str">
        <f>'Epitome Archetype Guide'!$N3</f>
        <v>Singer</v>
      </c>
      <c r="D3" s="73" t="str">
        <f>'Epitome Archetype Guide'!$P3</f>
        <v>Epitome Leadership</v>
      </c>
      <c r="E3" s="74">
        <f>' Response 2'!N5</f>
        <v>23</v>
      </c>
      <c r="F3" s="74">
        <f>' Response 2'!N6</f>
        <v>18</v>
      </c>
      <c r="G3" s="74">
        <f>' Response 2'!N7</f>
        <v>29</v>
      </c>
      <c r="H3" s="74">
        <f>' Response 2'!N8</f>
        <v>30</v>
      </c>
      <c r="I3" s="69" t="str">
        <f t="shared" si="0"/>
        <v/>
      </c>
      <c r="J3" s="69" t="str">
        <f t="shared" si="1"/>
        <v>Empress</v>
      </c>
      <c r="K3" s="69" t="str">
        <f t="shared" ref="K3:L3" si="2">(IF(G3=MIN($E3:$H3), G$1, ""))</f>
        <v/>
      </c>
      <c r="L3" s="69" t="str">
        <f t="shared" si="2"/>
        <v/>
      </c>
      <c r="M3" s="75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</row>
    <row r="4" spans="1:53" ht="15.75" customHeight="1" x14ac:dyDescent="0.25">
      <c r="A4" s="72" t="s">
        <v>223</v>
      </c>
      <c r="B4" s="73" t="str">
        <f>'Epitome Archetype Guide'!$M4</f>
        <v>Jenny</v>
      </c>
      <c r="C4" s="73" t="str">
        <f>'Epitome Archetype Guide'!$N4</f>
        <v>Nola</v>
      </c>
      <c r="D4" s="73" t="str">
        <f>'Epitome Archetype Guide'!$P4</f>
        <v>CWA of Victoria Inc</v>
      </c>
      <c r="E4" s="74">
        <f>'Response 3'!N5</f>
        <v>20</v>
      </c>
      <c r="F4" s="74">
        <f>'Response 3'!N6</f>
        <v>20</v>
      </c>
      <c r="G4" s="74">
        <f>'Response 3'!N7</f>
        <v>34</v>
      </c>
      <c r="H4" s="74">
        <f>'Response 3'!N8</f>
        <v>26</v>
      </c>
      <c r="I4" s="69" t="str">
        <f t="shared" si="0"/>
        <v>Sovereign</v>
      </c>
      <c r="J4" s="69" t="str">
        <f t="shared" si="1"/>
        <v>Empress</v>
      </c>
      <c r="K4" s="69" t="str">
        <f t="shared" ref="K4:K21" si="3">IF(SUM(E4:H4)&lt;&gt;0,IF(G4=MIN($E4:$H4), G$1, ""))</f>
        <v/>
      </c>
      <c r="L4" s="69" t="str">
        <f t="shared" ref="L4:L21" si="4">IF(SUM(E4:H4)&lt;&gt;0,IF(H4=MIN($E4:$H4), H$1, ""))</f>
        <v/>
      </c>
      <c r="M4" s="75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</row>
    <row r="5" spans="1:53" ht="15.75" customHeight="1" x14ac:dyDescent="0.25">
      <c r="A5" s="72" t="s">
        <v>224</v>
      </c>
      <c r="B5" s="73" t="str">
        <f>'Epitome Archetype Guide'!$M5</f>
        <v>Jacqui</v>
      </c>
      <c r="C5" s="73" t="str">
        <f>'Epitome Archetype Guide'!$N5</f>
        <v>Kernot</v>
      </c>
      <c r="D5" s="73" t="str">
        <f>'Epitome Archetype Guide'!$P5</f>
        <v xml:space="preserve">Model security </v>
      </c>
      <c r="E5" s="74">
        <f>'Response 4'!N5</f>
        <v>16</v>
      </c>
      <c r="F5" s="74">
        <f>'Response 4'!N6</f>
        <v>23</v>
      </c>
      <c r="G5" s="74">
        <f>'Response 4'!N7</f>
        <v>34</v>
      </c>
      <c r="H5" s="74">
        <f>'Response 4'!N8</f>
        <v>27</v>
      </c>
      <c r="I5" s="69" t="str">
        <f t="shared" si="0"/>
        <v>Sovereign</v>
      </c>
      <c r="J5" s="69" t="str">
        <f t="shared" si="1"/>
        <v/>
      </c>
      <c r="K5" s="69" t="str">
        <f t="shared" si="3"/>
        <v/>
      </c>
      <c r="L5" s="69" t="str">
        <f t="shared" si="4"/>
        <v/>
      </c>
      <c r="M5" s="75" t="s">
        <v>199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</row>
    <row r="6" spans="1:53" ht="15.75" customHeight="1" x14ac:dyDescent="0.25">
      <c r="A6" s="72" t="s">
        <v>225</v>
      </c>
      <c r="B6" s="73" t="str">
        <f>'Epitome Archetype Guide'!$M6</f>
        <v>Erikka</v>
      </c>
      <c r="C6" s="73" t="str">
        <f>'Epitome Archetype Guide'!$N6</f>
        <v xml:space="preserve">Buracchio </v>
      </c>
      <c r="D6" s="73" t="str">
        <f>'Epitome Archetype Guide'!$P6</f>
        <v>Retired</v>
      </c>
      <c r="E6" s="74">
        <f>'Response 5'!N5</f>
        <v>16</v>
      </c>
      <c r="F6" s="74">
        <f>'Response 5'!N6</f>
        <v>17</v>
      </c>
      <c r="G6" s="74">
        <f>'Response 5'!N7</f>
        <v>30</v>
      </c>
      <c r="H6" s="74">
        <f>'Response 5'!N8</f>
        <v>37</v>
      </c>
      <c r="I6" s="69" t="str">
        <f t="shared" si="0"/>
        <v>Sovereign</v>
      </c>
      <c r="J6" s="69" t="str">
        <f t="shared" si="1"/>
        <v/>
      </c>
      <c r="K6" s="69" t="str">
        <f t="shared" si="3"/>
        <v/>
      </c>
      <c r="L6" s="69" t="str">
        <f t="shared" si="4"/>
        <v/>
      </c>
      <c r="M6" s="75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</row>
    <row r="7" spans="1:53" ht="15.75" customHeight="1" x14ac:dyDescent="0.25">
      <c r="A7" s="72" t="s">
        <v>226</v>
      </c>
      <c r="B7" s="73" t="str">
        <f>'Epitome Archetype Guide'!$M7</f>
        <v>Jill</v>
      </c>
      <c r="C7" s="73" t="str">
        <f>'Epitome Archetype Guide'!$N7</f>
        <v>Shapiro</v>
      </c>
      <c r="D7" s="73" t="str">
        <f>'Epitome Archetype Guide'!$P7</f>
        <v>AltX Financial Group</v>
      </c>
      <c r="E7" s="74">
        <f>'Response 6'!N5</f>
        <v>20</v>
      </c>
      <c r="F7" s="74">
        <f>'Response 6'!N6</f>
        <v>30</v>
      </c>
      <c r="G7" s="74">
        <f>'Response 6'!N7</f>
        <v>20</v>
      </c>
      <c r="H7" s="74">
        <f>'Response 6'!N8</f>
        <v>30</v>
      </c>
      <c r="I7" s="69" t="str">
        <f t="shared" si="0"/>
        <v>Sovereign</v>
      </c>
      <c r="J7" s="69" t="str">
        <f t="shared" si="1"/>
        <v/>
      </c>
      <c r="K7" s="69" t="str">
        <f t="shared" si="3"/>
        <v>Consort</v>
      </c>
      <c r="L7" s="69" t="str">
        <f t="shared" si="4"/>
        <v/>
      </c>
      <c r="M7" s="75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</row>
    <row r="8" spans="1:53" ht="15.75" customHeight="1" x14ac:dyDescent="0.25">
      <c r="A8" s="72" t="s">
        <v>227</v>
      </c>
      <c r="B8" s="73">
        <f>'Epitome Archetype Guide'!$M8</f>
        <v>0</v>
      </c>
      <c r="C8" s="73">
        <f>'Epitome Archetype Guide'!$N8</f>
        <v>0</v>
      </c>
      <c r="D8" s="73">
        <f>'Epitome Archetype Guide'!$P8</f>
        <v>0</v>
      </c>
      <c r="E8" s="74">
        <f>'Response 7'!N5</f>
        <v>0</v>
      </c>
      <c r="F8" s="74">
        <f>'Response 7'!N6</f>
        <v>0</v>
      </c>
      <c r="G8" s="74">
        <f>'Response 7'!N7</f>
        <v>0</v>
      </c>
      <c r="H8" s="74">
        <f>'Response 7'!N8</f>
        <v>0</v>
      </c>
      <c r="I8" s="69" t="b">
        <f t="shared" si="0"/>
        <v>0</v>
      </c>
      <c r="J8" s="69" t="b">
        <f t="shared" si="1"/>
        <v>0</v>
      </c>
      <c r="K8" s="69" t="b">
        <f t="shared" si="3"/>
        <v>0</v>
      </c>
      <c r="L8" s="69" t="b">
        <f t="shared" si="4"/>
        <v>0</v>
      </c>
      <c r="M8" s="75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</row>
    <row r="9" spans="1:53" ht="15.75" customHeight="1" x14ac:dyDescent="0.25">
      <c r="A9" s="72" t="s">
        <v>228</v>
      </c>
      <c r="B9" s="73">
        <f>'Epitome Archetype Guide'!$M9</f>
        <v>0</v>
      </c>
      <c r="C9" s="73">
        <f>'Epitome Archetype Guide'!$N9</f>
        <v>0</v>
      </c>
      <c r="D9" s="73">
        <f>'Epitome Archetype Guide'!$P9</f>
        <v>0</v>
      </c>
      <c r="E9" s="74">
        <f>'Response 8'!N5</f>
        <v>0</v>
      </c>
      <c r="F9" s="74">
        <f>'Response 8'!N6</f>
        <v>0</v>
      </c>
      <c r="G9" s="74">
        <f>'Response 8'!N7</f>
        <v>0</v>
      </c>
      <c r="H9" s="74">
        <f>'Response 8'!N8</f>
        <v>0</v>
      </c>
      <c r="I9" s="69" t="b">
        <f t="shared" si="0"/>
        <v>0</v>
      </c>
      <c r="J9" s="69" t="b">
        <f t="shared" si="1"/>
        <v>0</v>
      </c>
      <c r="K9" s="69" t="b">
        <f t="shared" si="3"/>
        <v>0</v>
      </c>
      <c r="L9" s="69" t="b">
        <f t="shared" si="4"/>
        <v>0</v>
      </c>
      <c r="M9" s="75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</row>
    <row r="10" spans="1:53" ht="15.75" customHeight="1" x14ac:dyDescent="0.25">
      <c r="A10" s="72" t="s">
        <v>229</v>
      </c>
      <c r="B10" s="73">
        <f>'Epitome Archetype Guide'!$M10</f>
        <v>0</v>
      </c>
      <c r="C10" s="73">
        <f>'Epitome Archetype Guide'!$N10</f>
        <v>0</v>
      </c>
      <c r="D10" s="73">
        <f>'Epitome Archetype Guide'!$P10</f>
        <v>0</v>
      </c>
      <c r="E10" s="74">
        <f>'Response 9'!N5</f>
        <v>0</v>
      </c>
      <c r="F10" s="74">
        <f>'Response 9'!N6</f>
        <v>0</v>
      </c>
      <c r="G10" s="74">
        <f>'Response 9'!N7</f>
        <v>0</v>
      </c>
      <c r="H10" s="74">
        <f>'Response 9'!N8</f>
        <v>0</v>
      </c>
      <c r="I10" s="69" t="b">
        <f t="shared" si="0"/>
        <v>0</v>
      </c>
      <c r="J10" s="69" t="b">
        <f t="shared" si="1"/>
        <v>0</v>
      </c>
      <c r="K10" s="69" t="b">
        <f t="shared" si="3"/>
        <v>0</v>
      </c>
      <c r="L10" s="69" t="b">
        <f t="shared" si="4"/>
        <v>0</v>
      </c>
      <c r="M10" s="75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</row>
    <row r="11" spans="1:53" ht="15.75" customHeight="1" x14ac:dyDescent="0.25">
      <c r="A11" s="72" t="s">
        <v>230</v>
      </c>
      <c r="B11" s="73">
        <f>'Epitome Archetype Guide'!$M11</f>
        <v>0</v>
      </c>
      <c r="C11" s="73">
        <f>'Epitome Archetype Guide'!$N11</f>
        <v>0</v>
      </c>
      <c r="D11" s="73">
        <f>'Epitome Archetype Guide'!$P11</f>
        <v>0</v>
      </c>
      <c r="E11" s="74">
        <f>'Response 10'!N5</f>
        <v>0</v>
      </c>
      <c r="F11" s="74">
        <f>'Response 10'!N6</f>
        <v>0</v>
      </c>
      <c r="G11" s="74">
        <f>'Response 10'!N7</f>
        <v>0</v>
      </c>
      <c r="H11" s="74">
        <f>'Response 10'!N8</f>
        <v>0</v>
      </c>
      <c r="I11" s="69" t="b">
        <f t="shared" si="0"/>
        <v>0</v>
      </c>
      <c r="J11" s="69" t="b">
        <f t="shared" si="1"/>
        <v>0</v>
      </c>
      <c r="K11" s="69" t="b">
        <f t="shared" si="3"/>
        <v>0</v>
      </c>
      <c r="L11" s="69" t="b">
        <f t="shared" si="4"/>
        <v>0</v>
      </c>
      <c r="M11" s="75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</row>
    <row r="12" spans="1:53" ht="15.75" customHeight="1" x14ac:dyDescent="0.25">
      <c r="A12" s="72" t="s">
        <v>231</v>
      </c>
      <c r="B12" s="73">
        <f>'Epitome Archetype Guide'!$M12</f>
        <v>0</v>
      </c>
      <c r="C12" s="73">
        <f>'Epitome Archetype Guide'!$N12</f>
        <v>0</v>
      </c>
      <c r="D12" s="73">
        <f>'Epitome Archetype Guide'!$P12</f>
        <v>0</v>
      </c>
      <c r="E12" s="74">
        <f>'Response 11'!N5</f>
        <v>0</v>
      </c>
      <c r="F12" s="74">
        <f>'Response 11'!N6</f>
        <v>0</v>
      </c>
      <c r="G12" s="74">
        <f>'Response 11'!N7</f>
        <v>0</v>
      </c>
      <c r="H12" s="74">
        <f>'Response 11'!N8</f>
        <v>0</v>
      </c>
      <c r="I12" s="69" t="b">
        <f t="shared" si="0"/>
        <v>0</v>
      </c>
      <c r="J12" s="69" t="b">
        <f t="shared" si="1"/>
        <v>0</v>
      </c>
      <c r="K12" s="69" t="b">
        <f t="shared" si="3"/>
        <v>0</v>
      </c>
      <c r="L12" s="69" t="b">
        <f t="shared" si="4"/>
        <v>0</v>
      </c>
      <c r="M12" s="75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</row>
    <row r="13" spans="1:53" ht="15.75" customHeight="1" x14ac:dyDescent="0.25">
      <c r="A13" s="72" t="s">
        <v>232</v>
      </c>
      <c r="B13" s="73">
        <f>'Epitome Archetype Guide'!$M13</f>
        <v>0</v>
      </c>
      <c r="C13" s="73">
        <f>'Epitome Archetype Guide'!$N13</f>
        <v>0</v>
      </c>
      <c r="D13" s="73">
        <f>'Epitome Archetype Guide'!$P13</f>
        <v>0</v>
      </c>
      <c r="E13" s="74">
        <f>'Response 12'!N5</f>
        <v>0</v>
      </c>
      <c r="F13" s="74">
        <f>'Response 12'!N6</f>
        <v>0</v>
      </c>
      <c r="G13" s="74">
        <f>'Response 12'!N7</f>
        <v>0</v>
      </c>
      <c r="H13" s="74">
        <f>'Response 12'!N8</f>
        <v>0</v>
      </c>
      <c r="I13" s="69" t="b">
        <f t="shared" si="0"/>
        <v>0</v>
      </c>
      <c r="J13" s="69" t="b">
        <f t="shared" si="1"/>
        <v>0</v>
      </c>
      <c r="K13" s="69" t="b">
        <f t="shared" si="3"/>
        <v>0</v>
      </c>
      <c r="L13" s="69" t="b">
        <f t="shared" si="4"/>
        <v>0</v>
      </c>
      <c r="M13" s="75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</row>
    <row r="14" spans="1:53" ht="15.75" customHeight="1" x14ac:dyDescent="0.25">
      <c r="A14" s="72" t="s">
        <v>233</v>
      </c>
      <c r="B14" s="73">
        <f>'Epitome Archetype Guide'!$M14</f>
        <v>0</v>
      </c>
      <c r="C14" s="73">
        <f>'Epitome Archetype Guide'!$N14</f>
        <v>0</v>
      </c>
      <c r="D14" s="73">
        <f>'Epitome Archetype Guide'!$P14</f>
        <v>0</v>
      </c>
      <c r="E14" s="74">
        <f>'Response 13'!N6</f>
        <v>0</v>
      </c>
      <c r="F14" s="74">
        <f>'Response 13'!N6</f>
        <v>0</v>
      </c>
      <c r="G14" s="74">
        <f>'Response 13'!N7</f>
        <v>0</v>
      </c>
      <c r="H14" s="74">
        <f>'Response 13'!N8</f>
        <v>0</v>
      </c>
      <c r="I14" s="69" t="b">
        <f t="shared" si="0"/>
        <v>0</v>
      </c>
      <c r="J14" s="69" t="b">
        <f t="shared" si="1"/>
        <v>0</v>
      </c>
      <c r="K14" s="69" t="b">
        <f t="shared" si="3"/>
        <v>0</v>
      </c>
      <c r="L14" s="69" t="b">
        <f t="shared" si="4"/>
        <v>0</v>
      </c>
      <c r="M14" s="75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</row>
    <row r="15" spans="1:53" ht="15.75" customHeight="1" x14ac:dyDescent="0.25">
      <c r="A15" s="72" t="s">
        <v>234</v>
      </c>
      <c r="B15" s="73">
        <f>'Epitome Archetype Guide'!$M15</f>
        <v>0</v>
      </c>
      <c r="C15" s="73">
        <f>'Epitome Archetype Guide'!$N15</f>
        <v>0</v>
      </c>
      <c r="D15" s="73">
        <f>'Epitome Archetype Guide'!$P15</f>
        <v>0</v>
      </c>
      <c r="E15" s="74">
        <f>'Response 14'!N5</f>
        <v>0</v>
      </c>
      <c r="F15" s="74">
        <f>'Response 14'!N6</f>
        <v>0</v>
      </c>
      <c r="G15" s="74">
        <f>'Response 14'!N7</f>
        <v>0</v>
      </c>
      <c r="H15" s="74">
        <f>'Response 14'!N8</f>
        <v>0</v>
      </c>
      <c r="I15" s="69" t="b">
        <f t="shared" si="0"/>
        <v>0</v>
      </c>
      <c r="J15" s="69" t="b">
        <f t="shared" si="1"/>
        <v>0</v>
      </c>
      <c r="K15" s="69" t="b">
        <f t="shared" si="3"/>
        <v>0</v>
      </c>
      <c r="L15" s="69" t="b">
        <f t="shared" si="4"/>
        <v>0</v>
      </c>
      <c r="M15" s="75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1"/>
    </row>
    <row r="16" spans="1:53" ht="15.75" customHeight="1" x14ac:dyDescent="0.25">
      <c r="A16" s="72" t="s">
        <v>235</v>
      </c>
      <c r="B16" s="73">
        <f>'Epitome Archetype Guide'!$M16</f>
        <v>0</v>
      </c>
      <c r="C16" s="73">
        <f>'Epitome Archetype Guide'!$N16</f>
        <v>0</v>
      </c>
      <c r="D16" s="73">
        <f>'Epitome Archetype Guide'!$P16</f>
        <v>0</v>
      </c>
      <c r="E16" s="74">
        <f>'Response 15'!N5</f>
        <v>0</v>
      </c>
      <c r="F16" s="74">
        <f>'Response 15'!N6</f>
        <v>0</v>
      </c>
      <c r="G16" s="74">
        <f>'Response 15'!N7</f>
        <v>0</v>
      </c>
      <c r="H16" s="74">
        <f>'Response 15'!N8</f>
        <v>0</v>
      </c>
      <c r="I16" s="69" t="b">
        <f t="shared" si="0"/>
        <v>0</v>
      </c>
      <c r="J16" s="69" t="b">
        <f t="shared" si="1"/>
        <v>0</v>
      </c>
      <c r="K16" s="69" t="b">
        <f t="shared" si="3"/>
        <v>0</v>
      </c>
      <c r="L16" s="69" t="b">
        <f t="shared" si="4"/>
        <v>0</v>
      </c>
      <c r="M16" s="75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1"/>
    </row>
    <row r="17" spans="1:53" ht="15.75" customHeight="1" x14ac:dyDescent="0.25">
      <c r="A17" s="72" t="s">
        <v>236</v>
      </c>
      <c r="B17" s="73">
        <f>'Epitome Archetype Guide'!$M17</f>
        <v>0</v>
      </c>
      <c r="C17" s="73">
        <f>'Epitome Archetype Guide'!$N17</f>
        <v>0</v>
      </c>
      <c r="D17" s="73">
        <f>'Epitome Archetype Guide'!$P17</f>
        <v>0</v>
      </c>
      <c r="E17" s="74">
        <f>'Response 16'!N5</f>
        <v>0</v>
      </c>
      <c r="F17" s="74">
        <f>'Response 16'!N6</f>
        <v>0</v>
      </c>
      <c r="G17" s="74">
        <f>'Response 16'!N7</f>
        <v>0</v>
      </c>
      <c r="H17" s="74">
        <f>'Response 16'!N8</f>
        <v>0</v>
      </c>
      <c r="I17" s="69" t="b">
        <f t="shared" si="0"/>
        <v>0</v>
      </c>
      <c r="J17" s="69" t="b">
        <f t="shared" si="1"/>
        <v>0</v>
      </c>
      <c r="K17" s="69" t="b">
        <f t="shared" si="3"/>
        <v>0</v>
      </c>
      <c r="L17" s="69" t="b">
        <f t="shared" si="4"/>
        <v>0</v>
      </c>
      <c r="M17" s="75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</row>
    <row r="18" spans="1:53" ht="15.75" customHeight="1" x14ac:dyDescent="0.25">
      <c r="A18" s="72" t="s">
        <v>237</v>
      </c>
      <c r="B18" s="73">
        <f>'Epitome Archetype Guide'!$M18</f>
        <v>0</v>
      </c>
      <c r="C18" s="73">
        <f>'Epitome Archetype Guide'!$N18</f>
        <v>0</v>
      </c>
      <c r="D18" s="73">
        <f>'Epitome Archetype Guide'!$P18</f>
        <v>0</v>
      </c>
      <c r="E18" s="74">
        <f>'Response 17'!N5</f>
        <v>0</v>
      </c>
      <c r="F18" s="74">
        <f>'Response 17'!N6</f>
        <v>0</v>
      </c>
      <c r="G18" s="74">
        <f>'Response 17'!N7</f>
        <v>0</v>
      </c>
      <c r="H18" s="74">
        <f>'Response 17'!N8</f>
        <v>0</v>
      </c>
      <c r="I18" s="69" t="b">
        <f t="shared" si="0"/>
        <v>0</v>
      </c>
      <c r="J18" s="69" t="b">
        <f t="shared" si="1"/>
        <v>0</v>
      </c>
      <c r="K18" s="69" t="b">
        <f t="shared" si="3"/>
        <v>0</v>
      </c>
      <c r="L18" s="69" t="b">
        <f t="shared" si="4"/>
        <v>0</v>
      </c>
      <c r="M18" s="75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</row>
    <row r="19" spans="1:53" ht="15.75" customHeight="1" x14ac:dyDescent="0.25">
      <c r="A19" s="72" t="s">
        <v>238</v>
      </c>
      <c r="B19" s="73">
        <f>'Epitome Archetype Guide'!$M19</f>
        <v>0</v>
      </c>
      <c r="C19" s="73">
        <f>'Epitome Archetype Guide'!$N19</f>
        <v>0</v>
      </c>
      <c r="D19" s="73">
        <f>'Epitome Archetype Guide'!$P19</f>
        <v>0</v>
      </c>
      <c r="E19" s="74">
        <f>'Response 18'!N5</f>
        <v>0</v>
      </c>
      <c r="F19" s="74">
        <f>'Response 18'!N6</f>
        <v>0</v>
      </c>
      <c r="G19" s="74">
        <f>'Response 18'!N7</f>
        <v>0</v>
      </c>
      <c r="H19" s="74">
        <f>'Response 18'!N8</f>
        <v>0</v>
      </c>
      <c r="I19" s="69" t="b">
        <f t="shared" si="0"/>
        <v>0</v>
      </c>
      <c r="J19" s="69" t="b">
        <f t="shared" si="1"/>
        <v>0</v>
      </c>
      <c r="K19" s="69" t="b">
        <f t="shared" si="3"/>
        <v>0</v>
      </c>
      <c r="L19" s="69" t="b">
        <f t="shared" si="4"/>
        <v>0</v>
      </c>
      <c r="M19" s="75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</row>
    <row r="20" spans="1:53" ht="15.75" customHeight="1" x14ac:dyDescent="0.25">
      <c r="A20" s="72" t="s">
        <v>239</v>
      </c>
      <c r="B20" s="73">
        <f>'Epitome Archetype Guide'!$M20</f>
        <v>0</v>
      </c>
      <c r="C20" s="73">
        <f>'Epitome Archetype Guide'!$N20</f>
        <v>0</v>
      </c>
      <c r="D20" s="73">
        <f>'Epitome Archetype Guide'!$P20</f>
        <v>0</v>
      </c>
      <c r="E20" s="74">
        <f>'Response 19'!N5</f>
        <v>0</v>
      </c>
      <c r="F20" s="74">
        <f>'Response 19'!N6</f>
        <v>0</v>
      </c>
      <c r="G20" s="74">
        <f>'Response 19'!N7</f>
        <v>0</v>
      </c>
      <c r="H20" s="74">
        <f>'Response 19'!N8</f>
        <v>0</v>
      </c>
      <c r="I20" s="69" t="b">
        <f t="shared" si="0"/>
        <v>0</v>
      </c>
      <c r="J20" s="69" t="b">
        <f t="shared" si="1"/>
        <v>0</v>
      </c>
      <c r="K20" s="69" t="b">
        <f t="shared" si="3"/>
        <v>0</v>
      </c>
      <c r="L20" s="69" t="b">
        <f t="shared" si="4"/>
        <v>0</v>
      </c>
      <c r="M20" s="75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</row>
    <row r="21" spans="1:53" ht="15.75" customHeight="1" x14ac:dyDescent="0.25">
      <c r="A21" s="72" t="s">
        <v>240</v>
      </c>
      <c r="B21" s="73">
        <f>'Epitome Archetype Guide'!$M21</f>
        <v>0</v>
      </c>
      <c r="C21" s="73">
        <f>'Epitome Archetype Guide'!$N21</f>
        <v>0</v>
      </c>
      <c r="D21" s="73">
        <f>'Epitome Archetype Guide'!$P21</f>
        <v>0</v>
      </c>
      <c r="E21" s="74">
        <f>'Response 20'!N5</f>
        <v>0</v>
      </c>
      <c r="F21" s="74">
        <f>'Response 20'!N6</f>
        <v>0</v>
      </c>
      <c r="G21" s="74">
        <f>'Response 20'!N7</f>
        <v>0</v>
      </c>
      <c r="H21" s="74">
        <f>'Response 20'!N8</f>
        <v>0</v>
      </c>
      <c r="I21" s="69" t="b">
        <f t="shared" si="0"/>
        <v>0</v>
      </c>
      <c r="J21" s="69" t="b">
        <f t="shared" si="1"/>
        <v>0</v>
      </c>
      <c r="K21" s="69" t="b">
        <f t="shared" si="3"/>
        <v>0</v>
      </c>
      <c r="L21" s="69" t="b">
        <f t="shared" si="4"/>
        <v>0</v>
      </c>
      <c r="M21" s="76"/>
    </row>
    <row r="22" spans="1:53" x14ac:dyDescent="0.2">
      <c r="K22" s="71" t="s">
        <v>199</v>
      </c>
    </row>
  </sheetData>
  <autoFilter ref="B1:U1000" xr:uid="{00000000-0009-0000-0000-000003000000}"/>
  <conditionalFormatting sqref="E16:F16 H16 G16:G21">
    <cfRule type="expression" dxfId="324" priority="14">
      <formula>AND(SUM($E16:$H16) &gt; 0, E16 = MIN($E16:$H16))</formula>
    </cfRule>
  </conditionalFormatting>
  <conditionalFormatting sqref="E18:G18 H18:H21">
    <cfRule type="expression" dxfId="323" priority="16">
      <formula>AND(SUM($E18:$H18) &gt; 0, E18 = MIN($E18:$H18))</formula>
    </cfRule>
  </conditionalFormatting>
  <conditionalFormatting sqref="E2:H21">
    <cfRule type="expression" dxfId="322" priority="1">
      <formula>AND(SUM($E2:$H2) &gt; 0, E2 = MIN($E2:$H2))</formula>
    </cfRule>
  </conditionalFormatting>
  <conditionalFormatting sqref="E4:H11">
    <cfRule type="expression" dxfId="321" priority="3">
      <formula>AND(SUM($E4:$H4) &gt; 0, E4 = MIN($E4:$H4))</formula>
    </cfRule>
  </conditionalFormatting>
  <conditionalFormatting sqref="E13:H21">
    <cfRule type="expression" dxfId="320" priority="11">
      <formula>AND(SUM($E13:$H13) &gt; 0, E13 = MIN($E13:$H13))</formula>
    </cfRule>
  </conditionalFormatting>
  <conditionalFormatting sqref="E14:H15">
    <cfRule type="expression" dxfId="319" priority="12">
      <formula>AND(SUM($E14:$H14) &gt; 0, E14 = MIN($E14:$H14))</formula>
    </cfRule>
  </conditionalFormatting>
  <conditionalFormatting sqref="E17:H17">
    <cfRule type="expression" dxfId="318" priority="15">
      <formula>AND(SUM($E17:$H17) &gt; 0, E17 = MIN($E17:$H17))</formula>
    </cfRule>
  </conditionalFormatting>
  <conditionalFormatting sqref="F3:H12 E3:E21">
    <cfRule type="expression" dxfId="317" priority="2">
      <formula>AND(SUM($E3:$H3) &gt; 0, E3 = MIN($E3:$H3))</formula>
    </cfRule>
  </conditionalFormatting>
  <conditionalFormatting sqref="F19:H19">
    <cfRule type="expression" dxfId="316" priority="17">
      <formula>AND(SUM($E19:$H19) &gt; 0, F19 = MIN($E19:$H19))</formula>
    </cfRule>
  </conditionalFormatting>
  <conditionalFormatting sqref="F21:H21">
    <cfRule type="expression" dxfId="315" priority="19">
      <formula>AND(SUM($E21:$H21) &gt; 0, E21 = MIN($E21:$H21))</formula>
    </cfRule>
  </conditionalFormatting>
  <conditionalFormatting sqref="G20:H20 F20:F21">
    <cfRule type="expression" dxfId="314" priority="18">
      <formula>AND(SUM($E20:$H20) &gt; 0, F20 = MIN($E20:$H20))</formula>
    </cfRule>
  </conditionalFormatting>
  <conditionalFormatting sqref="I2:L21">
    <cfRule type="containsText" dxfId="313" priority="21" operator="containsText" text="Empress">
      <formula>NOT(ISERROR(SEARCH(("Empress"),(I2))))</formula>
    </cfRule>
    <cfRule type="containsText" dxfId="312" priority="22" operator="containsText" text="Seductress">
      <formula>NOT(ISERROR(SEARCH(("Seductress"),(I2))))</formula>
    </cfRule>
    <cfRule type="containsText" dxfId="311" priority="23" operator="containsText" text="Consort">
      <formula>NOT(ISERROR(SEARCH(("Consort"),(I2))))</formula>
    </cfRule>
    <cfRule type="containsText" dxfId="310" priority="24" operator="containsText" text="Sovereign">
      <formula>NOT(ISERROR(SEARCH(("Sovereign"),(I2))))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2" width="20.1640625" customWidth="1"/>
    <col min="3" max="3" width="14.1640625" customWidth="1"/>
    <col min="4" max="4" width="14.5" customWidth="1"/>
    <col min="5" max="5" width="14.1640625" customWidth="1"/>
    <col min="6" max="6" width="20.66406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 t="str">
        <f>'Epitome Archetype Guide'!M2</f>
        <v>Laura</v>
      </c>
      <c r="B1" s="77" t="str">
        <f>'Epitome Archetype Guide'!N2</f>
        <v>Taitz</v>
      </c>
      <c r="C1" s="2" t="s">
        <v>241</v>
      </c>
      <c r="D1" s="78" t="str">
        <f>'Epitome Archetype Guide'!P2</f>
        <v>Fraction PM</v>
      </c>
      <c r="F1" s="79"/>
      <c r="G1" s="79"/>
      <c r="H1" s="79"/>
      <c r="I1" s="79"/>
      <c r="J1" s="79"/>
      <c r="K1" s="79"/>
      <c r="N1" s="79"/>
    </row>
    <row r="2" spans="1:14" ht="20.25" customHeight="1" x14ac:dyDescent="0.2">
      <c r="A2" s="80" t="s">
        <v>242</v>
      </c>
      <c r="B2" s="60" t="str">
        <f>Analysis!I2</f>
        <v/>
      </c>
      <c r="C2" s="60" t="str">
        <f>Analysis!J2</f>
        <v>Empress</v>
      </c>
      <c r="D2" s="60" t="str">
        <f>Analysis!K2</f>
        <v/>
      </c>
      <c r="E2" s="60" t="str">
        <f>Analysis!L2</f>
        <v/>
      </c>
      <c r="F2" s="81"/>
      <c r="G2" s="81"/>
      <c r="H2" s="81"/>
      <c r="I2" s="81"/>
      <c r="J2" s="81"/>
      <c r="K2" s="81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Guide'!S2</f>
        <v>3</v>
      </c>
      <c r="C5" s="64">
        <f>'Epitome Archetype Guide'!U2</f>
        <v>1</v>
      </c>
      <c r="D5" s="64">
        <f>'Epitome Archetype Guide'!Y2</f>
        <v>1</v>
      </c>
      <c r="E5" s="64">
        <f>'Epitome Archetype Guide'!AD2</f>
        <v>2</v>
      </c>
      <c r="F5" s="64">
        <f>'Epitome Archetype Guide'!AJ2</f>
        <v>4</v>
      </c>
      <c r="G5" s="64">
        <f>'Epitome Archetype Guide'!AM2</f>
        <v>3</v>
      </c>
      <c r="H5" s="64">
        <f>'Epitome Archetype Guide'!AO2</f>
        <v>1</v>
      </c>
      <c r="I5" s="64">
        <f>'Epitome Archetype Guide'!AT2</f>
        <v>2</v>
      </c>
      <c r="J5" s="64">
        <f>'Epitome Archetype Guide'!AZ2</f>
        <v>4</v>
      </c>
      <c r="K5" s="64">
        <f>'Epitome Archetype Guide'!BC2</f>
        <v>3</v>
      </c>
      <c r="L5" s="64">
        <f>'Epitome Archetype Guide'!BF2</f>
        <v>2</v>
      </c>
      <c r="M5" s="64">
        <f>'Epitome Archetype Guide'!BL2</f>
        <v>4</v>
      </c>
      <c r="N5" s="84">
        <f t="shared" ref="N5:N8" si="0">SUM(B5:M5)</f>
        <v>30</v>
      </c>
    </row>
    <row r="6" spans="1:14" ht="15" x14ac:dyDescent="0.2">
      <c r="A6" s="85" t="str">
        <f>Reference!A25</f>
        <v>Empress</v>
      </c>
      <c r="B6" s="64">
        <f>'Epitome Archetype Guide'!R2</f>
        <v>2</v>
      </c>
      <c r="C6" s="64">
        <f>'Epitome Archetype Guide'!V2</f>
        <v>2</v>
      </c>
      <c r="D6" s="64">
        <f>'Epitome Archetype Guide'!AA2</f>
        <v>3</v>
      </c>
      <c r="E6" s="64">
        <f>'Epitome Archetype Guide'!AC2</f>
        <v>1</v>
      </c>
      <c r="F6" s="64">
        <f>'Epitome Archetype Guide'!AG2</f>
        <v>1</v>
      </c>
      <c r="G6" s="64">
        <f>'Epitome Archetype Guide'!AL2</f>
        <v>2</v>
      </c>
      <c r="H6" s="64">
        <f>'Epitome Archetype Guide'!AR2</f>
        <v>4</v>
      </c>
      <c r="I6" s="64">
        <f>'Epitome Archetype Guide'!AS2</f>
        <v>1</v>
      </c>
      <c r="J6" s="64">
        <f>'Epitome Archetype Guide'!AX2</f>
        <v>2</v>
      </c>
      <c r="K6" s="64">
        <f>'Epitome Archetype Guide'!BA2</f>
        <v>1</v>
      </c>
      <c r="L6" s="64">
        <f>'Epitome Archetype Guide'!BE2</f>
        <v>1</v>
      </c>
      <c r="M6" s="64">
        <f>'Epitome Archetype Guide'!BK2</f>
        <v>3</v>
      </c>
      <c r="N6" s="84">
        <f t="shared" si="0"/>
        <v>23</v>
      </c>
    </row>
    <row r="7" spans="1:14" ht="15" x14ac:dyDescent="0.2">
      <c r="A7" s="86" t="str">
        <f>Reference!A26</f>
        <v>Consort</v>
      </c>
      <c r="B7" s="64">
        <f>'Epitome Archetype Guide'!T2</f>
        <v>4</v>
      </c>
      <c r="C7" s="64">
        <f>'Epitome Archetype Guide'!X2</f>
        <v>4</v>
      </c>
      <c r="D7" s="64">
        <f>'Epitome Archetype Guide'!Z2</f>
        <v>2</v>
      </c>
      <c r="E7" s="64">
        <f>'Epitome Archetype Guide'!AE2</f>
        <v>3</v>
      </c>
      <c r="F7" s="64">
        <f>'Epitome Archetype Guide'!AH2</f>
        <v>2</v>
      </c>
      <c r="G7" s="64">
        <f>'Epitome Archetype Guide'!AK2</f>
        <v>1</v>
      </c>
      <c r="H7" s="64">
        <f>'Epitome Archetype Guide'!AP2</f>
        <v>2</v>
      </c>
      <c r="I7" s="64">
        <f>'Epitome Archetype Guide'!AV2</f>
        <v>4</v>
      </c>
      <c r="J7" s="64">
        <f>'Epitome Archetype Guide'!AY2</f>
        <v>3</v>
      </c>
      <c r="K7" s="64">
        <f>'Epitome Archetype Guide'!BD2</f>
        <v>4</v>
      </c>
      <c r="L7" s="64">
        <f>'Epitome Archetype Guide'!BG2</f>
        <v>3</v>
      </c>
      <c r="M7" s="64">
        <f>'Epitome Archetype Guide'!BI2</f>
        <v>1</v>
      </c>
      <c r="N7" s="84">
        <f t="shared" si="0"/>
        <v>33</v>
      </c>
    </row>
    <row r="8" spans="1:14" ht="15" x14ac:dyDescent="0.2">
      <c r="A8" s="87" t="str">
        <f>Reference!A27</f>
        <v>Seductress</v>
      </c>
      <c r="B8" s="64">
        <f>'Epitome Archetype Guide'!Q2</f>
        <v>1</v>
      </c>
      <c r="C8" s="64">
        <f>'Epitome Archetype Guide'!W2</f>
        <v>3</v>
      </c>
      <c r="D8" s="64">
        <f>'Epitome Archetype Guide'!AB2</f>
        <v>4</v>
      </c>
      <c r="E8" s="64">
        <f>'Epitome Archetype Guide'!AF2</f>
        <v>4</v>
      </c>
      <c r="F8" s="64">
        <f>'Epitome Archetype Guide'!AI2</f>
        <v>3</v>
      </c>
      <c r="G8" s="64">
        <f>'Epitome Archetype Guide'!AN2</f>
        <v>4</v>
      </c>
      <c r="H8" s="64">
        <f>'Epitome Archetype Guide'!AQ2</f>
        <v>3</v>
      </c>
      <c r="I8" s="64">
        <f>'Epitome Archetype Guide'!AU2</f>
        <v>3</v>
      </c>
      <c r="J8" s="64">
        <f>'Epitome Archetype Guide'!AW2</f>
        <v>1</v>
      </c>
      <c r="K8" s="64">
        <f>'Epitome Archetype Guide'!BB2</f>
        <v>2</v>
      </c>
      <c r="L8" s="64">
        <f>'Epitome Archetype Guide'!BH2</f>
        <v>4</v>
      </c>
      <c r="M8" s="64">
        <f>'Epitome Archetype Guide'!BJ2</f>
        <v>2</v>
      </c>
      <c r="N8" s="88">
        <f t="shared" si="0"/>
        <v>34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2</v>
      </c>
      <c r="C13" s="64">
        <f t="shared" si="1"/>
        <v>4</v>
      </c>
      <c r="D13" s="64">
        <f t="shared" si="1"/>
        <v>4</v>
      </c>
      <c r="E13" s="64">
        <f t="shared" si="1"/>
        <v>3</v>
      </c>
      <c r="F13" s="64">
        <f t="shared" si="1"/>
        <v>1</v>
      </c>
      <c r="G13" s="64">
        <f t="shared" si="1"/>
        <v>2</v>
      </c>
      <c r="H13" s="64">
        <f t="shared" si="1"/>
        <v>4</v>
      </c>
      <c r="I13" s="64">
        <f t="shared" si="1"/>
        <v>3</v>
      </c>
      <c r="J13" s="64">
        <f t="shared" si="1"/>
        <v>1</v>
      </c>
      <c r="K13" s="64">
        <f t="shared" si="1"/>
        <v>2</v>
      </c>
      <c r="L13" s="64">
        <f t="shared" si="1"/>
        <v>3</v>
      </c>
      <c r="M13" s="64">
        <f t="shared" si="1"/>
        <v>1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3</v>
      </c>
      <c r="C14" s="64">
        <f t="shared" si="2"/>
        <v>3</v>
      </c>
      <c r="D14" s="64">
        <f t="shared" si="2"/>
        <v>2</v>
      </c>
      <c r="E14" s="64">
        <f t="shared" si="2"/>
        <v>4</v>
      </c>
      <c r="F14" s="64">
        <f t="shared" si="2"/>
        <v>4</v>
      </c>
      <c r="G14" s="64">
        <f t="shared" si="2"/>
        <v>3</v>
      </c>
      <c r="H14" s="64">
        <f t="shared" si="2"/>
        <v>1</v>
      </c>
      <c r="I14" s="64">
        <f t="shared" si="2"/>
        <v>4</v>
      </c>
      <c r="J14" s="64">
        <f t="shared" si="2"/>
        <v>3</v>
      </c>
      <c r="K14" s="64">
        <f t="shared" si="2"/>
        <v>4</v>
      </c>
      <c r="L14" s="64">
        <f t="shared" si="2"/>
        <v>4</v>
      </c>
      <c r="M14" s="64">
        <f t="shared" si="2"/>
        <v>2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1</v>
      </c>
      <c r="C15" s="64">
        <f t="shared" si="3"/>
        <v>1</v>
      </c>
      <c r="D15" s="64">
        <f t="shared" si="3"/>
        <v>3</v>
      </c>
      <c r="E15" s="64">
        <f t="shared" si="3"/>
        <v>2</v>
      </c>
      <c r="F15" s="64">
        <f t="shared" si="3"/>
        <v>3</v>
      </c>
      <c r="G15" s="64">
        <f t="shared" si="3"/>
        <v>4</v>
      </c>
      <c r="H15" s="64">
        <f t="shared" si="3"/>
        <v>3</v>
      </c>
      <c r="I15" s="64">
        <f t="shared" si="3"/>
        <v>1</v>
      </c>
      <c r="J15" s="64">
        <f t="shared" si="3"/>
        <v>2</v>
      </c>
      <c r="K15" s="64">
        <f t="shared" si="3"/>
        <v>1</v>
      </c>
      <c r="L15" s="64">
        <f t="shared" si="3"/>
        <v>2</v>
      </c>
      <c r="M15" s="64">
        <f t="shared" si="3"/>
        <v>4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4</v>
      </c>
      <c r="C16" s="64">
        <f t="shared" si="4"/>
        <v>2</v>
      </c>
      <c r="D16" s="64">
        <f t="shared" si="4"/>
        <v>1</v>
      </c>
      <c r="E16" s="64">
        <f t="shared" si="4"/>
        <v>1</v>
      </c>
      <c r="F16" s="64">
        <f t="shared" si="4"/>
        <v>2</v>
      </c>
      <c r="G16" s="64">
        <f t="shared" si="4"/>
        <v>1</v>
      </c>
      <c r="H16" s="64">
        <f t="shared" si="4"/>
        <v>2</v>
      </c>
      <c r="I16" s="64">
        <f t="shared" si="4"/>
        <v>2</v>
      </c>
      <c r="J16" s="64">
        <f t="shared" si="4"/>
        <v>4</v>
      </c>
      <c r="K16" s="64">
        <f t="shared" si="4"/>
        <v>3</v>
      </c>
      <c r="L16" s="64">
        <f t="shared" si="4"/>
        <v>1</v>
      </c>
      <c r="M16" s="64">
        <f t="shared" si="4"/>
        <v>3</v>
      </c>
      <c r="N16" s="79"/>
    </row>
    <row r="51" spans="1:4" ht="21.75" customHeight="1" x14ac:dyDescent="0.15">
      <c r="B51" s="93" t="str">
        <f>$B$4</f>
        <v>Leading</v>
      </c>
      <c r="C51" s="94" t="str">
        <f>IF(SUM($B$5:$B$8)&lt;&gt;0,IF($B$5=MIN($B$5:$B$8), $A$5, IF(SUM(B5:B8)&lt;&gt;0,IF(B6=MIN($B5:$B8), $A$6, IF(SUM(B5:B8)&lt;&gt;0,IF(B7=MIN($B5:$B8), A7, IF(SUM(B5:B8)&lt;&gt;0,IF(B8=MIN($B5:$B8), A8, ""))))))))</f>
        <v>Seductress</v>
      </c>
      <c r="D51" s="2" t="s">
        <v>199</v>
      </c>
    </row>
    <row r="52" spans="1:4" ht="21.75" customHeight="1" x14ac:dyDescent="0.15">
      <c r="B52" s="93" t="str">
        <f>$C$4</f>
        <v>Trust</v>
      </c>
      <c r="C52" s="95" t="str">
        <f>IF(SUM(C5:C8)&lt;&gt;0,IF(C5=MIN(C5:C8), $A5, IF(SUM(C5:C8)&lt;&gt;0,IF(C6=MIN(C5:C8), $A6, IF(SUM(C5:C8)&lt;&gt;0,IF(C7=MIN(C5:C8), $A7, IF(SUM(C5:C8)&lt;&gt;0,IF(C8=MIN(C5:C8), $A8, ""))))))))</f>
        <v>Sovereign</v>
      </c>
      <c r="D52" s="2" t="s">
        <v>199</v>
      </c>
    </row>
    <row r="53" spans="1:4" ht="21.75" customHeight="1" x14ac:dyDescent="0.15">
      <c r="B53" s="93" t="str">
        <f>$D$4</f>
        <v>Constraints</v>
      </c>
      <c r="C53" s="94" t="str">
        <f>IF(SUM(D5:D8)&lt;&gt;0,IF(D5=MIN(D5:D8), $A5, IF(SUM(D5:D8)&lt;&gt;0,IF(D6=MIN(D5:D8), $A6, IF(SUM(D5:D8)&lt;&gt;0,IF(D7=MIN(D5:D8), $A7, IF(SUM(D5:D8)&lt;&gt;0,IF(D8=MIN(D5:D8), $A8, ""))))))))</f>
        <v>Sovereign</v>
      </c>
      <c r="D53" s="2" t="s">
        <v>199</v>
      </c>
    </row>
    <row r="54" spans="1:4" ht="21.75" customHeight="1" x14ac:dyDescent="0.15">
      <c r="B54" s="93" t="str">
        <f>$E$4</f>
        <v>Inspiration</v>
      </c>
      <c r="C54" s="95" t="str">
        <f>IF(SUM(E5:E8)&lt;&gt;0,IF(E5=MIN(E5:E8), $A5, IF(SUM(E5:E8)&lt;&gt;0,IF(E6=MIN(E5:E8), $A6, IF(SUM(E5:E8)&lt;&gt;0,IF(E7=MIN(E5:E8), $A7, IF(SUM(E5:E8)&lt;&gt;0,IF(E8=MIN(E5:E8), $A8, ""))))))))</f>
        <v>Empress</v>
      </c>
      <c r="D54" s="2" t="s">
        <v>199</v>
      </c>
    </row>
    <row r="55" spans="1:4" ht="21.75" customHeight="1" x14ac:dyDescent="0.15">
      <c r="B55" s="93" t="str">
        <f>$F$4</f>
        <v>Managing Challenges</v>
      </c>
      <c r="C55" s="94" t="str">
        <f>IF(SUM(F5:F8)&lt;&gt;0,IF(F5=MIN(F5:F8), $A5, IF(SUM(F5:F8)&lt;&gt;0,IF(F6=MIN(F5:F8), $A6, IF(SUM(F5:F8)&lt;&gt;0,IF(F7=MIN(F5:F8), $A7, IF(SUM(F5:F8)&lt;&gt;0,IF(F8=MIN(F5:F8), $A8, ""))))))))</f>
        <v>Empress</v>
      </c>
      <c r="D55" s="2" t="s">
        <v>199</v>
      </c>
    </row>
    <row r="56" spans="1:4" ht="21.75" customHeight="1" x14ac:dyDescent="0.15">
      <c r="B56" s="93" t="str">
        <f>$G$4</f>
        <v>Others View Me</v>
      </c>
      <c r="C56" s="95" t="str">
        <f>IF(SUM(G5:G8)&lt;&gt;0,IF(G5=MIN(G5:G8), $A5, IF(SUM(G5:G8)&lt;&gt;0,IF(G6=MIN(G5:G8), $A6, IF(SUM(G5:G8)&lt;&gt;0,IF(G7=MIN(G5:G8), $A7, IF(SUM(G5:G8)&lt;&gt;0,IF(G8=MIN(G5:G8), $A8, ""))))))))</f>
        <v>Consort</v>
      </c>
      <c r="D56" s="2" t="s">
        <v>199</v>
      </c>
    </row>
    <row r="57" spans="1:4" ht="21.75" customHeight="1" x14ac:dyDescent="0.2">
      <c r="A57" s="96"/>
      <c r="B57" s="93" t="str">
        <f>$H$4</f>
        <v>Striving</v>
      </c>
      <c r="C57" s="94" t="str">
        <f>IF(SUM(H5:H8)&lt;&gt;0,IF(H5=MIN(H5:H8), $A5, IF(SUM(H5:H8)&lt;&gt;0,IF(H6=MIN(H5:H8), $A6, IF(SUM(H5:H8)&lt;&gt;0,IF(H7=MIN(H5:H8), $A7, IF(SUM(H5:H8)&lt;&gt;0,IF(H8=MIN(H5:H8), $A8, ""))))))))</f>
        <v>Sovereign</v>
      </c>
      <c r="D57" s="2" t="s">
        <v>199</v>
      </c>
    </row>
    <row r="58" spans="1:4" ht="21.75" customHeight="1" x14ac:dyDescent="0.15">
      <c r="B58" s="93" t="str">
        <f>$I$4</f>
        <v>Working With Peers</v>
      </c>
      <c r="C58" s="95" t="str">
        <f>IF(SUM(I5:I8)&lt;&gt;0,IF(I5=MIN(I5:I8), $A5, IF(SUM(I5:I8)&lt;&gt;0,IF(I6=MIN(I5:I8), $A6, IF(SUM(I5:I8)&lt;&gt;0,IF(I7=MIN(I5:I8), $A7, IF(SUM(I5:I8)&lt;&gt;0,IF(I8=MIN(I5:I8), $A8, ""))))))))</f>
        <v>Empress</v>
      </c>
      <c r="D58" s="2" t="s">
        <v>199</v>
      </c>
    </row>
    <row r="59" spans="1:4" ht="21.75" customHeight="1" x14ac:dyDescent="0.15">
      <c r="B59" s="93" t="str">
        <f>$J$4</f>
        <v>At Your Worst</v>
      </c>
      <c r="C59" s="94" t="str">
        <f>IF(SUM(J5:J8)&lt;&gt;0,IF(J5=MIN(J5:J8), $A5, IF(SUM(J5:J8)&lt;&gt;0,IF(J6=MIN(J5:J8), $A6, IF(SUM(J5:J8)&lt;&gt;0,IF(J7=MIN(J5:J8), $A7, IF(SUM(J5:J8)&lt;&gt;0,IF(J8=MIN(J5:J8), $A8, ""))))))))</f>
        <v>Seductress</v>
      </c>
      <c r="D59" s="2" t="s">
        <v>199</v>
      </c>
    </row>
    <row r="60" spans="1:4" ht="21.75" customHeight="1" x14ac:dyDescent="0.15">
      <c r="B60" s="93" t="str">
        <f>$K$4</f>
        <v>Confidence</v>
      </c>
      <c r="C60" s="95" t="str">
        <f>IF(SUM(K5:K8)&lt;&gt;0,IF(K5=MIN(K5:K8), $A5, IF(SUM(K5:K8)&lt;&gt;0,IF(K6=MIN(K5:K8), $A6, IF(SUM(K5:K8)&lt;&gt;0,IF(K7=MIN(K5:K8), $A7, IF(SUM(K5:K8)&lt;&gt;0,IF(K8=MIN(K5:K8), $A8, ""))))))))</f>
        <v>Empress</v>
      </c>
      <c r="D60" s="2" t="s">
        <v>199</v>
      </c>
    </row>
    <row r="61" spans="1:4" ht="21.75" customHeight="1" x14ac:dyDescent="0.15">
      <c r="B61" s="93" t="str">
        <f>$L$4</f>
        <v>Power</v>
      </c>
      <c r="C61" s="95" t="str">
        <f>IF(SUM(L5:L8)&lt;&gt;0,IF(L5=MIN(L5:L8), $A5, IF(SUM(L5:L8)&lt;&gt;0,IF(L6=MIN(L5:L8), $A6, IF(SUM(L5:L8)&lt;&gt;0,IF(L7=MIN(L5:L8), $A7, IF(SUM(L5:L8)&lt;&gt;0,IF(L8=MIN(L5:L8), $A8, ""))))))))</f>
        <v>Empress</v>
      </c>
    </row>
    <row r="62" spans="1:4" ht="20.25" customHeight="1" x14ac:dyDescent="0.15">
      <c r="B62" s="93" t="str">
        <f>$M$4</f>
        <v>Ambition</v>
      </c>
      <c r="C62" s="95" t="str">
        <f>IF(SUM(M5:M8)&lt;&gt;0,IF(M5=MIN(M5:M8), $A5, IF(SUM(M5:M8)&lt;&gt;0,IF(M6=MIN(M5:M8), $A6, IF(SUM(M5:M8)&lt;&gt;0,IF(M7=MIN(M5:M8), $A7, IF(SUM(M5:M8)&lt;&gt;0,IF(M8=MIN(M5:M8), $A8, ""))))))))</f>
        <v>Consort</v>
      </c>
    </row>
  </sheetData>
  <conditionalFormatting sqref="B2:E2">
    <cfRule type="containsText" dxfId="309" priority="3" operator="containsText" text="Empress">
      <formula>NOT(ISERROR(SEARCH(("Empress"),(B2))))</formula>
    </cfRule>
    <cfRule type="containsText" dxfId="308" priority="4" operator="containsText" text="Seductress">
      <formula>NOT(ISERROR(SEARCH(("Seductress"),(B2))))</formula>
    </cfRule>
    <cfRule type="containsText" dxfId="307" priority="5" operator="containsText" text="Consort">
      <formula>NOT(ISERROR(SEARCH(("Consort"),(B2))))</formula>
    </cfRule>
    <cfRule type="containsText" dxfId="306" priority="6" operator="containsText" text="Sovereign">
      <formula>NOT(ISERROR(SEARCH(("Sovereign"),(B2))))</formula>
    </cfRule>
  </conditionalFormatting>
  <conditionalFormatting sqref="C51:C62">
    <cfRule type="containsText" dxfId="305" priority="11" operator="containsText" text="Consort">
      <formula>NOT(ISERROR(SEARCH(("Consort"),(C51))))</formula>
    </cfRule>
    <cfRule type="containsText" dxfId="304" priority="12" operator="containsText" text="Sovereign">
      <formula>NOT(ISERROR(SEARCH(("Sovereign"),(C51))))</formula>
    </cfRule>
    <cfRule type="containsText" dxfId="303" priority="13" operator="containsText" text="Seductress">
      <formula>NOT(ISERROR(SEARCH(("Seductress"),(C51))))</formula>
    </cfRule>
    <cfRule type="containsText" dxfId="302" priority="14" operator="containsText" text="Empress">
      <formula>NOT(ISERROR(SEARCH(("Empress"),(C51))))</formula>
    </cfRule>
  </conditionalFormatting>
  <conditionalFormatting sqref="L5:M8 B5:K9">
    <cfRule type="cellIs" dxfId="301" priority="1" operator="equal">
      <formula>1</formula>
    </cfRule>
  </conditionalFormatting>
  <conditionalFormatting sqref="L13:M16 B13:K17">
    <cfRule type="cellIs" dxfId="300" priority="2" operator="equal">
      <formula>4</formula>
    </cfRule>
  </conditionalFormatting>
  <conditionalFormatting sqref="N5">
    <cfRule type="expression" dxfId="299" priority="7">
      <formula>AND(N5 = MIN($N5:$N8))</formula>
    </cfRule>
  </conditionalFormatting>
  <conditionalFormatting sqref="N6">
    <cfRule type="expression" dxfId="298" priority="8">
      <formula>AND(N6 = MIN($N5:$N8))</formula>
    </cfRule>
  </conditionalFormatting>
  <conditionalFormatting sqref="N7">
    <cfRule type="expression" dxfId="297" priority="9">
      <formula>AND(N7 = MIN($N5:$N8))</formula>
    </cfRule>
  </conditionalFormatting>
  <conditionalFormatting sqref="N8">
    <cfRule type="expression" dxfId="296" priority="10">
      <formula>AND(N8 = MIN($N5:$N8))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0.66406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 t="str">
        <f>'Epitome Archetype Guide'!M3</f>
        <v>Merle</v>
      </c>
      <c r="B1" s="77" t="str">
        <f>'Epitome Archetype Guide'!N3</f>
        <v>Singer</v>
      </c>
      <c r="C1" s="2" t="s">
        <v>241</v>
      </c>
      <c r="D1" s="78" t="str">
        <f>'Epitome Archetype Guide'!P3</f>
        <v>Epitome Leadership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str">
        <f>Analysis!I3</f>
        <v/>
      </c>
      <c r="C2" s="60" t="str">
        <f>Analysis!J3</f>
        <v>Empress</v>
      </c>
      <c r="D2" s="60" t="str">
        <f>Analysis!K3</f>
        <v/>
      </c>
      <c r="E2" s="60" t="str">
        <f>Analysis!L3</f>
        <v/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97" t="str">
        <f>Reference!A20</f>
        <v>Power</v>
      </c>
      <c r="M4" s="97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Guide'!S3</f>
        <v>2</v>
      </c>
      <c r="C5" s="64">
        <f>'Epitome Archetype Guide'!U3</f>
        <v>3</v>
      </c>
      <c r="D5" s="64">
        <f>'Epitome Archetype Guide'!Y3</f>
        <v>1</v>
      </c>
      <c r="E5" s="64">
        <f>'Epitome Archetype Guide'!AD3</f>
        <v>1</v>
      </c>
      <c r="F5" s="64">
        <f>'Epitome Archetype Guide'!AJ3</f>
        <v>4</v>
      </c>
      <c r="G5" s="64">
        <f>'Epitome Archetype Guide'!AM3</f>
        <v>2</v>
      </c>
      <c r="H5" s="64">
        <f>'Epitome Archetype Guide'!AO3</f>
        <v>1</v>
      </c>
      <c r="I5" s="64">
        <f>'Epitome Archetype Guide'!AT3</f>
        <v>3</v>
      </c>
      <c r="J5" s="64">
        <f>'Epitome Archetype Guide'!AZ3</f>
        <v>4</v>
      </c>
      <c r="K5" s="64">
        <f>'Epitome Archetype Guide'!BC3</f>
        <v>2</v>
      </c>
      <c r="L5" s="64">
        <f>'Epitome Archetype Guide'!BF3</f>
        <v>3</v>
      </c>
      <c r="M5" s="64">
        <f>'Epitome Archetype Guide'!BL3</f>
        <v>1</v>
      </c>
      <c r="N5" s="84">
        <f t="shared" ref="N5:N8" si="0">SUM(B5:K5)</f>
        <v>23</v>
      </c>
    </row>
    <row r="6" spans="1:14" ht="15" x14ac:dyDescent="0.2">
      <c r="A6" s="85" t="str">
        <f>Reference!A25</f>
        <v>Empress</v>
      </c>
      <c r="B6" s="64">
        <f>'Epitome Archetype Guide'!R3</f>
        <v>1</v>
      </c>
      <c r="C6" s="64">
        <f>'Epitome Archetype Guide'!V3</f>
        <v>1</v>
      </c>
      <c r="D6" s="64">
        <f>'Epitome Archetype Guide'!AA3</f>
        <v>2</v>
      </c>
      <c r="E6" s="64">
        <f>'Epitome Archetype Guide'!AC3</f>
        <v>3</v>
      </c>
      <c r="F6" s="64">
        <f>'Epitome Archetype Guide'!AG3</f>
        <v>1</v>
      </c>
      <c r="G6" s="64">
        <f>'Epitome Archetype Guide'!AL3</f>
        <v>1</v>
      </c>
      <c r="H6" s="64">
        <f>'Epitome Archetype Guide'!AR3</f>
        <v>4</v>
      </c>
      <c r="I6" s="64">
        <f>'Epitome Archetype Guide'!AS3</f>
        <v>1</v>
      </c>
      <c r="J6" s="64">
        <f>'Epitome Archetype Guide'!AX3</f>
        <v>3</v>
      </c>
      <c r="K6" s="64">
        <f>'Epitome Archetype Guide'!BA3</f>
        <v>1</v>
      </c>
      <c r="L6" s="64">
        <f>'Epitome Archetype Guide'!BE3</f>
        <v>4</v>
      </c>
      <c r="M6" s="64">
        <f>'Epitome Archetype Guide'!BK3</f>
        <v>2</v>
      </c>
      <c r="N6" s="84">
        <f t="shared" si="0"/>
        <v>18</v>
      </c>
    </row>
    <row r="7" spans="1:14" ht="15" x14ac:dyDescent="0.2">
      <c r="A7" s="86" t="str">
        <f>Reference!A26</f>
        <v>Consort</v>
      </c>
      <c r="B7" s="64">
        <f>'Epitome Archetype Guide'!T3</f>
        <v>3</v>
      </c>
      <c r="C7" s="64">
        <f>'Epitome Archetype Guide'!X3</f>
        <v>2</v>
      </c>
      <c r="D7" s="64">
        <f>'Epitome Archetype Guide'!Z3</f>
        <v>3</v>
      </c>
      <c r="E7" s="64">
        <f>'Epitome Archetype Guide'!AE3</f>
        <v>4</v>
      </c>
      <c r="F7" s="64">
        <f>'Epitome Archetype Guide'!AH3</f>
        <v>3</v>
      </c>
      <c r="G7" s="64">
        <f>'Epitome Archetype Guide'!AK3</f>
        <v>3</v>
      </c>
      <c r="H7" s="64">
        <f>'Epitome Archetype Guide'!AP3</f>
        <v>3</v>
      </c>
      <c r="I7" s="64">
        <f>'Epitome Archetype Guide'!AV3</f>
        <v>4</v>
      </c>
      <c r="J7" s="64">
        <f>'Epitome Archetype Guide'!AY3</f>
        <v>1</v>
      </c>
      <c r="K7" s="64">
        <f>'Epitome Archetype Guide'!BD3</f>
        <v>3</v>
      </c>
      <c r="L7" s="64">
        <f>'Epitome Archetype Guide'!BG3</f>
        <v>1</v>
      </c>
      <c r="M7" s="64">
        <f>'Epitome Archetype Guide'!BI3</f>
        <v>4</v>
      </c>
      <c r="N7" s="84">
        <f t="shared" si="0"/>
        <v>29</v>
      </c>
    </row>
    <row r="8" spans="1:14" ht="15" x14ac:dyDescent="0.2">
      <c r="A8" s="87" t="str">
        <f>Reference!A27</f>
        <v>Seductress</v>
      </c>
      <c r="B8" s="64">
        <f>'Epitome Archetype Guide'!Q3</f>
        <v>4</v>
      </c>
      <c r="C8" s="64">
        <f>'Epitome Archetype Guide'!W3</f>
        <v>4</v>
      </c>
      <c r="D8" s="64">
        <f>'Epitome Archetype Guide'!AB3</f>
        <v>4</v>
      </c>
      <c r="E8" s="64">
        <f>'Epitome Archetype Guide'!AF3</f>
        <v>2</v>
      </c>
      <c r="F8" s="64">
        <f>'Epitome Archetype Guide'!AI3</f>
        <v>2</v>
      </c>
      <c r="G8" s="64">
        <f>'Epitome Archetype Guide'!AN3</f>
        <v>4</v>
      </c>
      <c r="H8" s="64">
        <f>'Epitome Archetype Guide'!AQ3</f>
        <v>2</v>
      </c>
      <c r="I8" s="64">
        <f>'Epitome Archetype Guide'!AU3</f>
        <v>2</v>
      </c>
      <c r="J8" s="64">
        <f>'Epitome Archetype Guide'!AW3</f>
        <v>2</v>
      </c>
      <c r="K8" s="64">
        <f>'Epitome Archetype Guide'!BB3</f>
        <v>4</v>
      </c>
      <c r="L8" s="64">
        <f>'Epitome Archetype Guide'!BH3</f>
        <v>2</v>
      </c>
      <c r="M8" s="64">
        <f>'Epitome Archetype Guide'!BJ3</f>
        <v>3</v>
      </c>
      <c r="N8" s="88">
        <f t="shared" si="0"/>
        <v>30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L11" s="79"/>
      <c r="M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63" t="str">
        <f>Reference!A20</f>
        <v>Power</v>
      </c>
      <c r="M12" s="63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3</v>
      </c>
      <c r="C13" s="64">
        <f t="shared" si="1"/>
        <v>2</v>
      </c>
      <c r="D13" s="64">
        <f t="shared" si="1"/>
        <v>4</v>
      </c>
      <c r="E13" s="64">
        <f t="shared" si="1"/>
        <v>4</v>
      </c>
      <c r="F13" s="64">
        <f t="shared" si="1"/>
        <v>1</v>
      </c>
      <c r="G13" s="64">
        <f t="shared" si="1"/>
        <v>3</v>
      </c>
      <c r="H13" s="64">
        <f t="shared" si="1"/>
        <v>4</v>
      </c>
      <c r="I13" s="64">
        <f t="shared" si="1"/>
        <v>2</v>
      </c>
      <c r="J13" s="64">
        <f t="shared" si="1"/>
        <v>1</v>
      </c>
      <c r="K13" s="64">
        <f t="shared" si="1"/>
        <v>3</v>
      </c>
      <c r="L13" s="64">
        <f t="shared" si="1"/>
        <v>2</v>
      </c>
      <c r="M13" s="64">
        <f t="shared" si="1"/>
        <v>4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4</v>
      </c>
      <c r="C14" s="64">
        <f t="shared" si="2"/>
        <v>4</v>
      </c>
      <c r="D14" s="64">
        <f t="shared" si="2"/>
        <v>3</v>
      </c>
      <c r="E14" s="64">
        <f t="shared" si="2"/>
        <v>2</v>
      </c>
      <c r="F14" s="64">
        <f t="shared" si="2"/>
        <v>4</v>
      </c>
      <c r="G14" s="64">
        <f t="shared" si="2"/>
        <v>4</v>
      </c>
      <c r="H14" s="64">
        <f t="shared" si="2"/>
        <v>1</v>
      </c>
      <c r="I14" s="64">
        <f t="shared" si="2"/>
        <v>4</v>
      </c>
      <c r="J14" s="64">
        <f t="shared" si="2"/>
        <v>2</v>
      </c>
      <c r="K14" s="64">
        <f t="shared" si="2"/>
        <v>4</v>
      </c>
      <c r="L14" s="64">
        <f t="shared" si="2"/>
        <v>1</v>
      </c>
      <c r="M14" s="64">
        <f t="shared" si="2"/>
        <v>3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2</v>
      </c>
      <c r="C15" s="64">
        <f t="shared" si="3"/>
        <v>3</v>
      </c>
      <c r="D15" s="64">
        <f t="shared" si="3"/>
        <v>2</v>
      </c>
      <c r="E15" s="64">
        <f t="shared" si="3"/>
        <v>1</v>
      </c>
      <c r="F15" s="64">
        <f t="shared" si="3"/>
        <v>2</v>
      </c>
      <c r="G15" s="64">
        <f t="shared" si="3"/>
        <v>2</v>
      </c>
      <c r="H15" s="64">
        <f t="shared" si="3"/>
        <v>2</v>
      </c>
      <c r="I15" s="64">
        <f t="shared" si="3"/>
        <v>1</v>
      </c>
      <c r="J15" s="64">
        <f t="shared" si="3"/>
        <v>4</v>
      </c>
      <c r="K15" s="64">
        <f t="shared" si="3"/>
        <v>2</v>
      </c>
      <c r="L15" s="64">
        <f t="shared" si="3"/>
        <v>4</v>
      </c>
      <c r="M15" s="64">
        <f t="shared" si="3"/>
        <v>1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1</v>
      </c>
      <c r="C16" s="64">
        <f t="shared" si="4"/>
        <v>1</v>
      </c>
      <c r="D16" s="64">
        <f t="shared" si="4"/>
        <v>1</v>
      </c>
      <c r="E16" s="64">
        <f t="shared" si="4"/>
        <v>3</v>
      </c>
      <c r="F16" s="64">
        <f t="shared" si="4"/>
        <v>3</v>
      </c>
      <c r="G16" s="64">
        <f t="shared" si="4"/>
        <v>1</v>
      </c>
      <c r="H16" s="64">
        <f t="shared" si="4"/>
        <v>3</v>
      </c>
      <c r="I16" s="64">
        <f t="shared" si="4"/>
        <v>3</v>
      </c>
      <c r="J16" s="64">
        <f t="shared" si="4"/>
        <v>3</v>
      </c>
      <c r="K16" s="64">
        <f t="shared" si="4"/>
        <v>1</v>
      </c>
      <c r="L16" s="64">
        <f t="shared" si="4"/>
        <v>3</v>
      </c>
      <c r="M16" s="64">
        <f t="shared" si="4"/>
        <v>2</v>
      </c>
      <c r="N16" s="79"/>
    </row>
    <row r="51" spans="2:3" ht="24.75" customHeight="1" x14ac:dyDescent="0.15">
      <c r="B51" s="93" t="str">
        <f>$B$4</f>
        <v>Leading</v>
      </c>
      <c r="C51" s="94" t="str">
        <f>IF(SUM($B$5:$B$8)&lt;&gt;0,IF($B$5=MIN($B$5:$B$8), $A$5, IF(SUM(B5:B8)&lt;&gt;0,IF(B6=MIN($B5:$B8), $A$6, IF(SUM(B5:B8)&lt;&gt;0,IF(B7=MIN($B5:$B8), A7, IF(SUM(B5:B8)&lt;&gt;0,IF(B8=MIN($B5:$B8), A8, ""))))))))</f>
        <v>Empress</v>
      </c>
    </row>
    <row r="52" spans="2:3" ht="24.75" customHeight="1" x14ac:dyDescent="0.15">
      <c r="B52" s="93" t="str">
        <f>$C$4</f>
        <v>Trust</v>
      </c>
      <c r="C52" s="95" t="str">
        <f>IF(SUM(C5:C8)&lt;&gt;0,IF(C5=MIN(C5:C8), $A5, IF(SUM(C5:C8)&lt;&gt;0,IF(C6=MIN(C5:C8), $A6, IF(SUM(C5:C8)&lt;&gt;0,IF(C7=MIN(C5:C8), $A7, IF(SUM(C5:C8)&lt;&gt;0,IF(C8=MIN(C5:C8), $A8, ""))))))))</f>
        <v>Empress</v>
      </c>
    </row>
    <row r="53" spans="2:3" ht="24.75" customHeight="1" x14ac:dyDescent="0.15">
      <c r="B53" s="93" t="str">
        <f>$D$4</f>
        <v>Constraints</v>
      </c>
      <c r="C53" s="94" t="str">
        <f>IF(SUM(D5:D8)&lt;&gt;0,IF(D5=MIN(D5:D8), $A5, IF(SUM(D5:D8)&lt;&gt;0,IF(D6=MIN(D5:D8), $A6, IF(SUM(D5:D8)&lt;&gt;0,IF(D7=MIN(D5:D8), $A7, IF(SUM(D5:D8)&lt;&gt;0,IF(D8=MIN(D5:D8), $A8, ""))))))))</f>
        <v>Sovereign</v>
      </c>
    </row>
    <row r="54" spans="2:3" ht="24.75" customHeight="1" x14ac:dyDescent="0.15">
      <c r="B54" s="93" t="str">
        <f>$E$4</f>
        <v>Inspiration</v>
      </c>
      <c r="C54" s="95" t="str">
        <f>IF(SUM(E5:E8)&lt;&gt;0,IF(E5=MIN(E5:E8), $A5, IF(SUM(E5:E8)&lt;&gt;0,IF(E6=MIN(E5:E8), $A6, IF(SUM(E5:E8)&lt;&gt;0,IF(E7=MIN(E5:E8), $A7, IF(SUM(E5:E8)&lt;&gt;0,IF(E8=MIN(E5:E8), $A8, ""))))))))</f>
        <v>Sovereign</v>
      </c>
    </row>
    <row r="55" spans="2:3" ht="24.75" customHeight="1" x14ac:dyDescent="0.15">
      <c r="B55" s="93" t="str">
        <f>$F$4</f>
        <v>Managing Challenges</v>
      </c>
      <c r="C55" s="94" t="str">
        <f>IF(SUM(F5:F8)&lt;&gt;0,IF(F5=MIN(F5:F8), $A5, IF(SUM(F5:F8)&lt;&gt;0,IF(F6=MIN(F5:F8), $A6, IF(SUM(F5:F8)&lt;&gt;0,IF(F7=MIN(F5:F8), $A7, IF(SUM(F5:F8)&lt;&gt;0,IF(F8=MIN(F5:F8), $A8, ""))))))))</f>
        <v>Empress</v>
      </c>
    </row>
    <row r="56" spans="2:3" ht="24.75" customHeight="1" x14ac:dyDescent="0.15">
      <c r="B56" s="93" t="str">
        <f>$G$4</f>
        <v>Others View Me</v>
      </c>
      <c r="C56" s="95" t="str">
        <f>IF(SUM(G5:G8)&lt;&gt;0,IF(G5=MIN(G5:G8), $A5, IF(SUM(G5:G8)&lt;&gt;0,IF(G6=MIN(G5:G8), $A6, IF(SUM(G5:G8)&lt;&gt;0,IF(G7=MIN(G5:G8), $A7, IF(SUM(G5:G8)&lt;&gt;0,IF(G8=MIN(G5:G8), $A8, ""))))))))</f>
        <v>Empress</v>
      </c>
    </row>
    <row r="57" spans="2:3" ht="24.75" customHeight="1" x14ac:dyDescent="0.15">
      <c r="B57" s="93" t="str">
        <f>$H$4</f>
        <v>Striving</v>
      </c>
      <c r="C57" s="94" t="str">
        <f>IF(SUM(H5:H8)&lt;&gt;0,IF(H5=MIN(H5:H8), $A5, IF(SUM(H5:H8)&lt;&gt;0,IF(H6=MIN(H5:H8), $A6, IF(SUM(H5:H8)&lt;&gt;0,IF(H7=MIN(H5:H8), $A7, IF(SUM(H5:H8)&lt;&gt;0,IF(H8=MIN(H5:H8), $A8, ""))))))))</f>
        <v>Sovereign</v>
      </c>
    </row>
    <row r="58" spans="2:3" ht="24.75" customHeight="1" x14ac:dyDescent="0.15">
      <c r="B58" s="93" t="str">
        <f>$I$4</f>
        <v>Working With Peers</v>
      </c>
      <c r="C58" s="95" t="str">
        <f>IF(SUM(I5:I8)&lt;&gt;0,IF(I5=MIN(I5:I8), $A5, IF(SUM(I5:I8)&lt;&gt;0,IF(I6=MIN(I5:I8), $A6, IF(SUM(I5:I8)&lt;&gt;0,IF(I7=MIN(I5:I8), $A7, IF(SUM(I5:I8)&lt;&gt;0,IF(I8=MIN(I5:I8), $A8, ""))))))))</f>
        <v>Empress</v>
      </c>
    </row>
    <row r="59" spans="2:3" ht="24.75" customHeight="1" x14ac:dyDescent="0.15">
      <c r="B59" s="93" t="str">
        <f>$J$4</f>
        <v>At Your Worst</v>
      </c>
      <c r="C59" s="94" t="str">
        <f>IF(SUM(J5:J8)&lt;&gt;0,IF(J5=MIN(J5:J8), $A5, IF(SUM(J5:J8)&lt;&gt;0,IF(J6=MIN(J5:J8), $A6, IF(SUM(J5:J8)&lt;&gt;0,IF(J7=MIN(J5:J8), $A7, IF(SUM(J5:J8)&lt;&gt;0,IF(J8=MIN(J5:J8), $A8, ""))))))))</f>
        <v>Consort</v>
      </c>
    </row>
    <row r="60" spans="2:3" ht="24.75" customHeight="1" x14ac:dyDescent="0.15">
      <c r="B60" s="93" t="str">
        <f>$K$4</f>
        <v>Confidence</v>
      </c>
      <c r="C60" s="95" t="str">
        <f>IF(SUM(K5:K8)&lt;&gt;0,IF(K5=MIN(K5:K8), $A5, IF(SUM(K5:K8)&lt;&gt;0,IF(K6=MIN(K5:K8), $A6, IF(SUM(K5:K8)&lt;&gt;0,IF(K7=MIN(K5:K8), $A7, IF(SUM(K5:K8)&lt;&gt;0,IF(K8=MIN(K5:K8), $A8, ""))))))))</f>
        <v>Empress</v>
      </c>
    </row>
    <row r="61" spans="2:3" ht="24.75" customHeight="1" x14ac:dyDescent="0.15">
      <c r="B61" s="93" t="str">
        <f>$L$4</f>
        <v>Power</v>
      </c>
      <c r="C61" s="95" t="str">
        <f>IF(SUM(L5:L8)&lt;&gt;0,IF(L5=MIN(L5:L8), $A5, IF(SUM(L5:L8)&lt;&gt;0,IF(L6=MIN(L5:L8), $A6, IF(SUM(L5:L8)&lt;&gt;0,IF(L7=MIN(L5:L8), $A7, IF(SUM(L5:L8)&lt;&gt;0,IF(L8=MIN(L5:L8), $A8, ""))))))))</f>
        <v>Consort</v>
      </c>
    </row>
    <row r="62" spans="2:3" ht="24.75" customHeight="1" x14ac:dyDescent="0.15">
      <c r="B62" s="93" t="str">
        <f>$M$4</f>
        <v>Ambition</v>
      </c>
      <c r="C62" s="95" t="str">
        <f>IF(SUM(M5:M8)&lt;&gt;0,IF(M5=MIN(M5:M8), $A5, IF(SUM(M5:M8)&lt;&gt;0,IF(M6=MIN(M5:M8), $A6, IF(SUM(M5:M8)&lt;&gt;0,IF(M7=MIN(M5:M8), $A7, IF(SUM(M5:M8)&lt;&gt;0,IF(M8=MIN(M5:M8), $A8, ""))))))))</f>
        <v>Sovereign</v>
      </c>
    </row>
  </sheetData>
  <conditionalFormatting sqref="B2:E2">
    <cfRule type="containsText" dxfId="295" priority="7" operator="containsText" text="Empress">
      <formula>NOT(ISERROR(SEARCH(("Empress"),(B2))))</formula>
    </cfRule>
    <cfRule type="containsText" dxfId="294" priority="8" operator="containsText" text="Seductress">
      <formula>NOT(ISERROR(SEARCH(("Seductress"),(B2))))</formula>
    </cfRule>
    <cfRule type="containsText" dxfId="293" priority="9" operator="containsText" text="Consort">
      <formula>NOT(ISERROR(SEARCH(("Consort"),(B2))))</formula>
    </cfRule>
    <cfRule type="containsText" dxfId="292" priority="10" operator="containsText" text="Sovereign">
      <formula>NOT(ISERROR(SEARCH(("Sovereign"),(B2))))</formula>
    </cfRule>
  </conditionalFormatting>
  <conditionalFormatting sqref="C51:C62">
    <cfRule type="containsText" dxfId="291" priority="1" operator="containsText" text="Consort">
      <formula>NOT(ISERROR(SEARCH(("Consort"),(C51))))</formula>
    </cfRule>
    <cfRule type="containsText" dxfId="290" priority="2" operator="containsText" text="Sovereign">
      <formula>NOT(ISERROR(SEARCH(("Sovereign"),(C51))))</formula>
    </cfRule>
    <cfRule type="containsText" dxfId="289" priority="3" operator="containsText" text="Seductress">
      <formula>NOT(ISERROR(SEARCH(("Seductress"),(C51))))</formula>
    </cfRule>
    <cfRule type="containsText" dxfId="288" priority="4" operator="containsText" text="Empress">
      <formula>NOT(ISERROR(SEARCH(("Empress"),(C51))))</formula>
    </cfRule>
  </conditionalFormatting>
  <conditionalFormatting sqref="L5:M8 B5:K9">
    <cfRule type="cellIs" dxfId="287" priority="5" operator="equal">
      <formula>1</formula>
    </cfRule>
  </conditionalFormatting>
  <conditionalFormatting sqref="L13:M16 B13:K17">
    <cfRule type="cellIs" dxfId="286" priority="6" operator="equal">
      <formula>4</formula>
    </cfRule>
  </conditionalFormatting>
  <conditionalFormatting sqref="L5:N5">
    <cfRule type="expression" dxfId="285" priority="11">
      <formula>AND(L5 = MIN($N5:$N8))</formula>
    </cfRule>
  </conditionalFormatting>
  <conditionalFormatting sqref="L6:N6">
    <cfRule type="expression" dxfId="284" priority="12">
      <formula>AND(L6 = MIN($N5:$N8))</formula>
    </cfRule>
  </conditionalFormatting>
  <conditionalFormatting sqref="L7:N7">
    <cfRule type="expression" dxfId="283" priority="13">
      <formula>AND(L7 = MIN($N5:$N8))</formula>
    </cfRule>
  </conditionalFormatting>
  <conditionalFormatting sqref="L8:N8">
    <cfRule type="expression" dxfId="282" priority="14">
      <formula>AND(L8 = MIN($N5:$N8))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8.8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 t="str">
        <f>'Epitome Archetype Guide'!M4</f>
        <v>Jenny</v>
      </c>
      <c r="B1" s="77" t="str">
        <f>'Epitome Archetype Guide'!N4</f>
        <v>Nola</v>
      </c>
      <c r="C1" s="2" t="s">
        <v>241</v>
      </c>
      <c r="D1" s="78" t="str">
        <f>'Epitome Archetype Guide'!P4</f>
        <v>CWA of Victoria Inc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str">
        <f>Analysis!I4</f>
        <v>Sovereign</v>
      </c>
      <c r="C2" s="60" t="str">
        <f>Analysis!J4</f>
        <v>Empress</v>
      </c>
      <c r="D2" s="60" t="str">
        <f>Analysis!K4</f>
        <v/>
      </c>
      <c r="E2" s="60" t="str">
        <f>Analysis!L4</f>
        <v/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Guide'!S4</f>
        <v>2</v>
      </c>
      <c r="C5" s="64">
        <f>'Epitome Archetype Guide'!U4</f>
        <v>2</v>
      </c>
      <c r="D5" s="64">
        <f>'Epitome Archetype Guide'!Y4</f>
        <v>1</v>
      </c>
      <c r="E5" s="64">
        <f>'Epitome Archetype Guide'!AD4</f>
        <v>2</v>
      </c>
      <c r="F5" s="64">
        <f>'Epitome Archetype Guide'!AJ4</f>
        <v>2</v>
      </c>
      <c r="G5" s="64">
        <f>'Epitome Archetype Guide'!AM4</f>
        <v>2</v>
      </c>
      <c r="H5" s="64">
        <f>'Epitome Archetype Guide'!AO4</f>
        <v>2</v>
      </c>
      <c r="I5" s="64">
        <f>'Epitome Archetype Guide'!AT4</f>
        <v>3</v>
      </c>
      <c r="J5" s="64">
        <f>'Epitome Archetype Guide'!AZ4</f>
        <v>2</v>
      </c>
      <c r="K5" s="64">
        <f>'Epitome Archetype Guide'!BC4</f>
        <v>2</v>
      </c>
      <c r="L5" s="64">
        <f>'Epitome Archetype Guide'!BF4</f>
        <v>2</v>
      </c>
      <c r="M5" s="64">
        <f>'Epitome Archetype Guide'!BL4</f>
        <v>3</v>
      </c>
      <c r="N5" s="84">
        <f t="shared" ref="N5:N8" si="0">SUM(B5:K5)</f>
        <v>20</v>
      </c>
    </row>
    <row r="6" spans="1:14" ht="15" x14ac:dyDescent="0.2">
      <c r="A6" s="85" t="str">
        <f>Reference!A25</f>
        <v>Empress</v>
      </c>
      <c r="B6" s="64">
        <f>'Epitome Archetype Guide'!R4</f>
        <v>1</v>
      </c>
      <c r="C6" s="64">
        <f>'Epitome Archetype Guide'!V4</f>
        <v>3</v>
      </c>
      <c r="D6" s="64">
        <f>'Epitome Archetype Guide'!AA4</f>
        <v>2</v>
      </c>
      <c r="E6" s="64">
        <f>'Epitome Archetype Guide'!AC4</f>
        <v>1</v>
      </c>
      <c r="F6" s="64">
        <f>'Epitome Archetype Guide'!AG4</f>
        <v>3</v>
      </c>
      <c r="G6" s="64">
        <f>'Epitome Archetype Guide'!AL4</f>
        <v>3</v>
      </c>
      <c r="H6" s="64">
        <f>'Epitome Archetype Guide'!AR4</f>
        <v>1</v>
      </c>
      <c r="I6" s="64">
        <f>'Epitome Archetype Guide'!AS4</f>
        <v>1</v>
      </c>
      <c r="J6" s="64">
        <f>'Epitome Archetype Guide'!AX4</f>
        <v>4</v>
      </c>
      <c r="K6" s="64">
        <f>'Epitome Archetype Guide'!BA4</f>
        <v>1</v>
      </c>
      <c r="L6" s="64">
        <f>'Epitome Archetype Guide'!BE4</f>
        <v>1</v>
      </c>
      <c r="M6" s="64">
        <f>'Epitome Archetype Guide'!BK4</f>
        <v>1</v>
      </c>
      <c r="N6" s="84">
        <f t="shared" si="0"/>
        <v>20</v>
      </c>
    </row>
    <row r="7" spans="1:14" ht="15" x14ac:dyDescent="0.2">
      <c r="A7" s="86" t="str">
        <f>Reference!A26</f>
        <v>Consort</v>
      </c>
      <c r="B7" s="64">
        <f>'Epitome Archetype Guide'!T4</f>
        <v>4</v>
      </c>
      <c r="C7" s="64">
        <f>'Epitome Archetype Guide'!X4</f>
        <v>4</v>
      </c>
      <c r="D7" s="64">
        <f>'Epitome Archetype Guide'!Z4</f>
        <v>4</v>
      </c>
      <c r="E7" s="64">
        <f>'Epitome Archetype Guide'!AE4</f>
        <v>3</v>
      </c>
      <c r="F7" s="64">
        <f>'Epitome Archetype Guide'!AH4</f>
        <v>4</v>
      </c>
      <c r="G7" s="64">
        <f>'Epitome Archetype Guide'!AK4</f>
        <v>1</v>
      </c>
      <c r="H7" s="64">
        <f>'Epitome Archetype Guide'!AP4</f>
        <v>3</v>
      </c>
      <c r="I7" s="64">
        <f>'Epitome Archetype Guide'!AV4</f>
        <v>4</v>
      </c>
      <c r="J7" s="64">
        <f>'Epitome Archetype Guide'!AY4</f>
        <v>3</v>
      </c>
      <c r="K7" s="64">
        <f>'Epitome Archetype Guide'!BD4</f>
        <v>4</v>
      </c>
      <c r="L7" s="64">
        <f>'Epitome Archetype Guide'!BG4</f>
        <v>4</v>
      </c>
      <c r="M7" s="64">
        <f>'Epitome Archetype Guide'!BI4</f>
        <v>2</v>
      </c>
      <c r="N7" s="84">
        <f t="shared" si="0"/>
        <v>34</v>
      </c>
    </row>
    <row r="8" spans="1:14" ht="15" x14ac:dyDescent="0.2">
      <c r="A8" s="87" t="str">
        <f>Reference!A27</f>
        <v>Seductress</v>
      </c>
      <c r="B8" s="64">
        <f>'Epitome Archetype Guide'!Q4</f>
        <v>3</v>
      </c>
      <c r="C8" s="64">
        <f>'Epitome Archetype Guide'!W4</f>
        <v>1</v>
      </c>
      <c r="D8" s="64">
        <f>'Epitome Archetype Guide'!AB4</f>
        <v>3</v>
      </c>
      <c r="E8" s="64">
        <f>'Epitome Archetype Guide'!AF4</f>
        <v>4</v>
      </c>
      <c r="F8" s="64">
        <f>'Epitome Archetype Guide'!AI4</f>
        <v>1</v>
      </c>
      <c r="G8" s="64">
        <f>'Epitome Archetype Guide'!AN4</f>
        <v>4</v>
      </c>
      <c r="H8" s="64">
        <f>'Epitome Archetype Guide'!AQ4</f>
        <v>4</v>
      </c>
      <c r="I8" s="64">
        <f>'Epitome Archetype Guide'!AU4</f>
        <v>2</v>
      </c>
      <c r="J8" s="64">
        <f>'Epitome Archetype Guide'!AW4</f>
        <v>1</v>
      </c>
      <c r="K8" s="64">
        <f>'Epitome Archetype Guide'!BB4</f>
        <v>3</v>
      </c>
      <c r="L8" s="64">
        <f>'Epitome Archetype Guide'!BH4</f>
        <v>3</v>
      </c>
      <c r="M8" s="64">
        <f>'Epitome Archetype Guide'!BJ4</f>
        <v>4</v>
      </c>
      <c r="N8" s="88">
        <f t="shared" si="0"/>
        <v>26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3</v>
      </c>
      <c r="C13" s="64">
        <f t="shared" si="1"/>
        <v>3</v>
      </c>
      <c r="D13" s="64">
        <f t="shared" si="1"/>
        <v>4</v>
      </c>
      <c r="E13" s="64">
        <f t="shared" si="1"/>
        <v>3</v>
      </c>
      <c r="F13" s="64">
        <f t="shared" si="1"/>
        <v>3</v>
      </c>
      <c r="G13" s="64">
        <f t="shared" si="1"/>
        <v>3</v>
      </c>
      <c r="H13" s="64">
        <f t="shared" si="1"/>
        <v>3</v>
      </c>
      <c r="I13" s="64">
        <f t="shared" si="1"/>
        <v>2</v>
      </c>
      <c r="J13" s="64">
        <f t="shared" si="1"/>
        <v>3</v>
      </c>
      <c r="K13" s="64">
        <f t="shared" si="1"/>
        <v>3</v>
      </c>
      <c r="L13" s="64">
        <f t="shared" si="1"/>
        <v>3</v>
      </c>
      <c r="M13" s="64">
        <f t="shared" si="1"/>
        <v>2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4</v>
      </c>
      <c r="C14" s="64">
        <f t="shared" si="2"/>
        <v>2</v>
      </c>
      <c r="D14" s="64">
        <f t="shared" si="2"/>
        <v>3</v>
      </c>
      <c r="E14" s="64">
        <f t="shared" si="2"/>
        <v>4</v>
      </c>
      <c r="F14" s="64">
        <f t="shared" si="2"/>
        <v>2</v>
      </c>
      <c r="G14" s="64">
        <f t="shared" si="2"/>
        <v>2</v>
      </c>
      <c r="H14" s="64">
        <f t="shared" si="2"/>
        <v>4</v>
      </c>
      <c r="I14" s="64">
        <f t="shared" si="2"/>
        <v>4</v>
      </c>
      <c r="J14" s="64">
        <f t="shared" si="2"/>
        <v>1</v>
      </c>
      <c r="K14" s="64">
        <f t="shared" si="2"/>
        <v>4</v>
      </c>
      <c r="L14" s="64">
        <f t="shared" si="2"/>
        <v>4</v>
      </c>
      <c r="M14" s="64">
        <f t="shared" si="2"/>
        <v>4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1</v>
      </c>
      <c r="C15" s="64">
        <f t="shared" si="3"/>
        <v>1</v>
      </c>
      <c r="D15" s="64">
        <f t="shared" si="3"/>
        <v>1</v>
      </c>
      <c r="E15" s="64">
        <f t="shared" si="3"/>
        <v>2</v>
      </c>
      <c r="F15" s="64">
        <f t="shared" si="3"/>
        <v>1</v>
      </c>
      <c r="G15" s="64">
        <f t="shared" si="3"/>
        <v>4</v>
      </c>
      <c r="H15" s="64">
        <f t="shared" si="3"/>
        <v>2</v>
      </c>
      <c r="I15" s="64">
        <f t="shared" si="3"/>
        <v>1</v>
      </c>
      <c r="J15" s="64">
        <f t="shared" si="3"/>
        <v>2</v>
      </c>
      <c r="K15" s="64">
        <f t="shared" si="3"/>
        <v>1</v>
      </c>
      <c r="L15" s="64">
        <f t="shared" si="3"/>
        <v>1</v>
      </c>
      <c r="M15" s="64">
        <f t="shared" si="3"/>
        <v>3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2</v>
      </c>
      <c r="C16" s="64">
        <f t="shared" si="4"/>
        <v>4</v>
      </c>
      <c r="D16" s="64">
        <f t="shared" si="4"/>
        <v>2</v>
      </c>
      <c r="E16" s="64">
        <f t="shared" si="4"/>
        <v>1</v>
      </c>
      <c r="F16" s="64">
        <f t="shared" si="4"/>
        <v>4</v>
      </c>
      <c r="G16" s="64">
        <f t="shared" si="4"/>
        <v>1</v>
      </c>
      <c r="H16" s="64">
        <f t="shared" si="4"/>
        <v>1</v>
      </c>
      <c r="I16" s="64">
        <f t="shared" si="4"/>
        <v>3</v>
      </c>
      <c r="J16" s="64">
        <f t="shared" si="4"/>
        <v>4</v>
      </c>
      <c r="K16" s="64">
        <f t="shared" si="4"/>
        <v>2</v>
      </c>
      <c r="L16" s="64">
        <f t="shared" si="4"/>
        <v>2</v>
      </c>
      <c r="M16" s="64">
        <f t="shared" si="4"/>
        <v>1</v>
      </c>
      <c r="N16" s="79"/>
    </row>
    <row r="51" spans="2:3" ht="25.5" customHeight="1" x14ac:dyDescent="0.15">
      <c r="B51" s="93" t="str">
        <f>$B$4</f>
        <v>Leading</v>
      </c>
      <c r="C51" s="94" t="str">
        <f>IF(SUM($B$5:$B$8)&lt;&gt;0,IF($B$5=MIN($B$5:$B$8), $A$5, IF(SUM(B5:B8)&lt;&gt;0,IF(B6=MIN($B5:$B8), $A$6, IF(SUM(B5:B8)&lt;&gt;0,IF(B7=MIN($B5:$B8), A7, IF(SUM(B5:B8)&lt;&gt;0,IF(B8=MIN($B5:$B8), A8, ""))))))))</f>
        <v>Empress</v>
      </c>
    </row>
    <row r="52" spans="2:3" ht="25.5" customHeight="1" x14ac:dyDescent="0.15">
      <c r="B52" s="93" t="str">
        <f>$C$4</f>
        <v>Trust</v>
      </c>
      <c r="C52" s="95" t="str">
        <f>IF(SUM(C5:C8)&lt;&gt;0,IF(C5=MIN(C5:C8), $A5, IF(SUM(C5:C8)&lt;&gt;0,IF(C6=MIN(C5:C8), $A6, IF(SUM(C5:C8)&lt;&gt;0,IF(C7=MIN(C5:C8), $A7, IF(SUM(C5:C8)&lt;&gt;0,IF(C8=MIN(C5:C8), $A8, ""))))))))</f>
        <v>Seductress</v>
      </c>
    </row>
    <row r="53" spans="2:3" ht="25.5" customHeight="1" x14ac:dyDescent="0.15">
      <c r="B53" s="93" t="str">
        <f>$D$4</f>
        <v>Constraints</v>
      </c>
      <c r="C53" s="94" t="str">
        <f>IF(SUM(D5:D8)&lt;&gt;0,IF(D5=MIN(D5:D8), $A5, IF(SUM(D5:D8)&lt;&gt;0,IF(D6=MIN(D5:D8), $A6, IF(SUM(D5:D8)&lt;&gt;0,IF(D7=MIN(D5:D8), $A7, IF(SUM(D5:D8)&lt;&gt;0,IF(D8=MIN(D5:D8), $A8, ""))))))))</f>
        <v>Sovereign</v>
      </c>
    </row>
    <row r="54" spans="2:3" ht="25.5" customHeight="1" x14ac:dyDescent="0.15">
      <c r="B54" s="93" t="str">
        <f>$E$4</f>
        <v>Inspiration</v>
      </c>
      <c r="C54" s="95" t="str">
        <f>IF(SUM(E5:E8)&lt;&gt;0,IF(E5=MIN(E5:E8), $A5, IF(SUM(E5:E8)&lt;&gt;0,IF(E6=MIN(E5:E8), $A6, IF(SUM(E5:E8)&lt;&gt;0,IF(E7=MIN(E5:E8), $A7, IF(SUM(E5:E8)&lt;&gt;0,IF(E8=MIN(E5:E8), $A8, ""))))))))</f>
        <v>Empress</v>
      </c>
    </row>
    <row r="55" spans="2:3" ht="25.5" customHeight="1" x14ac:dyDescent="0.15">
      <c r="B55" s="93" t="str">
        <f>$F$4</f>
        <v>Managing Challenges</v>
      </c>
      <c r="C55" s="94" t="str">
        <f>IF(SUM(F5:F8)&lt;&gt;0,IF(F5=MIN(F5:F8), $A5, IF(SUM(F5:F8)&lt;&gt;0,IF(F6=MIN(F5:F8), $A6, IF(SUM(F5:F8)&lt;&gt;0,IF(F7=MIN(F5:F8), $A7, IF(SUM(F5:F8)&lt;&gt;0,IF(F8=MIN(F5:F8), $A8, ""))))))))</f>
        <v>Seductress</v>
      </c>
    </row>
    <row r="56" spans="2:3" ht="25.5" customHeight="1" x14ac:dyDescent="0.15">
      <c r="B56" s="93" t="str">
        <f>$G$4</f>
        <v>Others View Me</v>
      </c>
      <c r="C56" s="95" t="str">
        <f>IF(SUM(G5:G8)&lt;&gt;0,IF(G5=MIN(G5:G8), $A5, IF(SUM(G5:G8)&lt;&gt;0,IF(G6=MIN(G5:G8), $A6, IF(SUM(G5:G8)&lt;&gt;0,IF(G7=MIN(G5:G8), $A7, IF(SUM(G5:G8)&lt;&gt;0,IF(G8=MIN(G5:G8), $A8, ""))))))))</f>
        <v>Consort</v>
      </c>
    </row>
    <row r="57" spans="2:3" ht="25.5" customHeight="1" x14ac:dyDescent="0.15">
      <c r="B57" s="93" t="str">
        <f>$H$4</f>
        <v>Striving</v>
      </c>
      <c r="C57" s="94" t="str">
        <f>IF(SUM(H5:H8)&lt;&gt;0,IF(H5=MIN(H5:H8), $A5, IF(SUM(H5:H8)&lt;&gt;0,IF(H6=MIN(H5:H8), $A6, IF(SUM(H5:H8)&lt;&gt;0,IF(H7=MIN(H5:H8), $A7, IF(SUM(H5:H8)&lt;&gt;0,IF(H8=MIN(H5:H8), $A8, ""))))))))</f>
        <v>Empress</v>
      </c>
    </row>
    <row r="58" spans="2:3" ht="25.5" customHeight="1" x14ac:dyDescent="0.15">
      <c r="B58" s="93" t="str">
        <f>$I$4</f>
        <v>Working With Peers</v>
      </c>
      <c r="C58" s="95" t="str">
        <f>IF(SUM(I5:I8)&lt;&gt;0,IF(I5=MIN(I5:I8), $A5, IF(SUM(I5:I8)&lt;&gt;0,IF(I6=MIN(I5:I8), $A6, IF(SUM(I5:I8)&lt;&gt;0,IF(I7=MIN(I5:I8), $A7, IF(SUM(I5:I8)&lt;&gt;0,IF(I8=MIN(I5:I8), $A8, ""))))))))</f>
        <v>Empress</v>
      </c>
    </row>
    <row r="59" spans="2:3" ht="25.5" customHeight="1" x14ac:dyDescent="0.15">
      <c r="B59" s="93" t="str">
        <f>$J$4</f>
        <v>At Your Worst</v>
      </c>
      <c r="C59" s="94" t="str">
        <f>IF(SUM(J5:J8)&lt;&gt;0,IF(J5=MIN(J5:J8), $A5, IF(SUM(J5:J8)&lt;&gt;0,IF(J6=MIN(J5:J8), $A6, IF(SUM(J5:J8)&lt;&gt;0,IF(J7=MIN(J5:J8), $A7, IF(SUM(J5:J8)&lt;&gt;0,IF(J8=MIN(J5:J8), $A8, ""))))))))</f>
        <v>Seductress</v>
      </c>
    </row>
    <row r="60" spans="2:3" ht="25.5" customHeight="1" x14ac:dyDescent="0.15">
      <c r="B60" s="93" t="str">
        <f>$K$4</f>
        <v>Confidence</v>
      </c>
      <c r="C60" s="94" t="str">
        <f>IF(SUM(K5:K8)&lt;&gt;0,IF(K5=MIN(K5:K8), $A5, IF(SUM(K5:K8)&lt;&gt;0,IF(K6=MIN(K5:K8), $A6, IF(SUM(K5:K8)&lt;&gt;0,IF(K7=MIN(K5:K8), $A7, IF(SUM(K5:K8)&lt;&gt;0,IF(K8=MIN(K5:K8), $A8, ""))))))))</f>
        <v>Empress</v>
      </c>
    </row>
    <row r="61" spans="2:3" ht="24.75" customHeight="1" x14ac:dyDescent="0.15">
      <c r="B61" s="93" t="str">
        <f>$L$4</f>
        <v>Power</v>
      </c>
      <c r="C61" s="94" t="str">
        <f>IF(SUM(L5:L8)&lt;&gt;0,IF(L5=MIN(L5:L8), $A5, IF(SUM(L5:L8)&lt;&gt;0,IF(L6=MIN(L5:L8), $A6, IF(SUM(L5:L8)&lt;&gt;0,IF(L7=MIN(L5:L8), $A7, IF(SUM(L5:L8)&lt;&gt;0,IF(L8=MIN(L5:L8), $A8, ""))))))))</f>
        <v>Empress</v>
      </c>
    </row>
    <row r="62" spans="2:3" ht="32.25" customHeight="1" x14ac:dyDescent="0.15">
      <c r="B62" s="93" t="str">
        <f>$M$4</f>
        <v>Ambition</v>
      </c>
      <c r="C62" s="94" t="str">
        <f>IF(SUM(M5:M8)&lt;&gt;0,IF(M5=MIN(M5:M8), $A5, IF(SUM(M5:M8)&lt;&gt;0,IF(M6=MIN(M5:M8), $A6, IF(SUM(M5:M8)&lt;&gt;0,IF(M7=MIN(M5:M8), $A7, IF(SUM(M5:M8)&lt;&gt;0,IF(M8=MIN(M5:M8), $A8, ""))))))))</f>
        <v>Empress</v>
      </c>
    </row>
  </sheetData>
  <conditionalFormatting sqref="B2:E2">
    <cfRule type="containsText" dxfId="281" priority="7" operator="containsText" text="Empress">
      <formula>NOT(ISERROR(SEARCH(("Empress"),(B2))))</formula>
    </cfRule>
    <cfRule type="containsText" dxfId="280" priority="8" operator="containsText" text="Seductress">
      <formula>NOT(ISERROR(SEARCH(("Seductress"),(B2))))</formula>
    </cfRule>
    <cfRule type="containsText" dxfId="279" priority="9" operator="containsText" text="Consort">
      <formula>NOT(ISERROR(SEARCH(("Consort"),(B2))))</formula>
    </cfRule>
    <cfRule type="containsText" dxfId="278" priority="10" operator="containsText" text="Sovereign">
      <formula>NOT(ISERROR(SEARCH(("Sovereign"),(B2))))</formula>
    </cfRule>
  </conditionalFormatting>
  <conditionalFormatting sqref="C51:C62">
    <cfRule type="containsText" dxfId="277" priority="1" operator="containsText" text="Consort">
      <formula>NOT(ISERROR(SEARCH(("Consort"),(C51))))</formula>
    </cfRule>
    <cfRule type="containsText" dxfId="276" priority="2" operator="containsText" text="Sovereign">
      <formula>NOT(ISERROR(SEARCH(("Sovereign"),(C51))))</formula>
    </cfRule>
    <cfRule type="containsText" dxfId="275" priority="3" operator="containsText" text="Seductress">
      <formula>NOT(ISERROR(SEARCH(("Seductress"),(C51))))</formula>
    </cfRule>
    <cfRule type="containsText" dxfId="274" priority="4" operator="containsText" text="Empress">
      <formula>NOT(ISERROR(SEARCH(("Empress"),(C51))))</formula>
    </cfRule>
  </conditionalFormatting>
  <conditionalFormatting sqref="L5:M8 B5:K9">
    <cfRule type="cellIs" dxfId="273" priority="5" operator="equal">
      <formula>1</formula>
    </cfRule>
  </conditionalFormatting>
  <conditionalFormatting sqref="L13:M16 B13:K17">
    <cfRule type="cellIs" dxfId="272" priority="6" operator="equal">
      <formula>4</formula>
    </cfRule>
  </conditionalFormatting>
  <conditionalFormatting sqref="N5">
    <cfRule type="expression" dxfId="271" priority="11">
      <formula>AND(N5 = MIN($N5:$N8))</formula>
    </cfRule>
  </conditionalFormatting>
  <conditionalFormatting sqref="N6">
    <cfRule type="expression" dxfId="270" priority="12">
      <formula>AND(N6 = MIN($N5:$N8))</formula>
    </cfRule>
  </conditionalFormatting>
  <conditionalFormatting sqref="N7">
    <cfRule type="expression" dxfId="269" priority="13">
      <formula>AND(N7 = MIN($N5:$N8))</formula>
    </cfRule>
  </conditionalFormatting>
  <conditionalFormatting sqref="N8">
    <cfRule type="expression" dxfId="268" priority="14">
      <formula>AND(N8 = MIN($N5:$N8))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8.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 t="str">
        <f>'Epitome Archetype Guide'!M5</f>
        <v>Jacqui</v>
      </c>
      <c r="B1" s="77" t="str">
        <f>'Epitome Archetype Guide'!N5</f>
        <v>Kernot</v>
      </c>
      <c r="C1" s="2" t="s">
        <v>241</v>
      </c>
      <c r="D1" s="78" t="str">
        <f>'Epitome Archetype Guide'!P5</f>
        <v xml:space="preserve">Model security 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str">
        <f>Analysis!I5</f>
        <v>Sovereign</v>
      </c>
      <c r="C2" s="60" t="str">
        <f>Analysis!J5</f>
        <v/>
      </c>
      <c r="D2" s="60" t="str">
        <f>Analysis!K5</f>
        <v/>
      </c>
      <c r="E2" s="60" t="str">
        <f>Analysis!L5</f>
        <v/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Guide'!S5</f>
        <v>3</v>
      </c>
      <c r="C5" s="64">
        <f>'Epitome Archetype Guide'!U5</f>
        <v>2</v>
      </c>
      <c r="D5" s="64">
        <f>'Epitome Archetype Guide'!Y5</f>
        <v>2</v>
      </c>
      <c r="E5" s="64">
        <f>'Epitome Archetype Guide'!AD5</f>
        <v>1</v>
      </c>
      <c r="F5" s="64">
        <f>'Epitome Archetype Guide'!AJ5</f>
        <v>2</v>
      </c>
      <c r="G5" s="64">
        <f>'Epitome Archetype Guide'!AM5</f>
        <v>1</v>
      </c>
      <c r="H5" s="64">
        <f>'Epitome Archetype Guide'!AO5</f>
        <v>1</v>
      </c>
      <c r="I5" s="64">
        <f>'Epitome Archetype Guide'!AT5</f>
        <v>1</v>
      </c>
      <c r="J5" s="64">
        <f>'Epitome Archetype Guide'!AZ5</f>
        <v>1</v>
      </c>
      <c r="K5" s="64">
        <f>'Epitome Archetype Guide'!BC5</f>
        <v>2</v>
      </c>
      <c r="L5" s="64">
        <f>'Epitome Archetype Guide'!BF5</f>
        <v>2</v>
      </c>
      <c r="M5" s="64">
        <f>'Epitome Archetype Guide'!BL5</f>
        <v>2</v>
      </c>
      <c r="N5" s="84">
        <f t="shared" ref="N5:N8" si="0">SUM(B5:K5)</f>
        <v>16</v>
      </c>
    </row>
    <row r="6" spans="1:14" ht="15" x14ac:dyDescent="0.2">
      <c r="A6" s="85" t="str">
        <f>Reference!A25</f>
        <v>Empress</v>
      </c>
      <c r="B6" s="64">
        <f>'Epitome Archetype Guide'!R5</f>
        <v>1</v>
      </c>
      <c r="C6" s="64">
        <f>'Epitome Archetype Guide'!V5</f>
        <v>4</v>
      </c>
      <c r="D6" s="64">
        <f>'Epitome Archetype Guide'!AA5</f>
        <v>1</v>
      </c>
      <c r="E6" s="64">
        <f>'Epitome Archetype Guide'!AC5</f>
        <v>2</v>
      </c>
      <c r="F6" s="64">
        <f>'Epitome Archetype Guide'!AG5</f>
        <v>4</v>
      </c>
      <c r="G6" s="64">
        <f>'Epitome Archetype Guide'!AL5</f>
        <v>2</v>
      </c>
      <c r="H6" s="64">
        <f>'Epitome Archetype Guide'!AR5</f>
        <v>2</v>
      </c>
      <c r="I6" s="64">
        <f>'Epitome Archetype Guide'!AS5</f>
        <v>2</v>
      </c>
      <c r="J6" s="64">
        <f>'Epitome Archetype Guide'!AX5</f>
        <v>4</v>
      </c>
      <c r="K6" s="64">
        <f>'Epitome Archetype Guide'!BA5</f>
        <v>1</v>
      </c>
      <c r="L6" s="64">
        <f>'Epitome Archetype Guide'!BE5</f>
        <v>1</v>
      </c>
      <c r="M6" s="64">
        <f>'Epitome Archetype Guide'!BK5</f>
        <v>1</v>
      </c>
      <c r="N6" s="84">
        <f t="shared" si="0"/>
        <v>23</v>
      </c>
    </row>
    <row r="7" spans="1:14" ht="15" x14ac:dyDescent="0.2">
      <c r="A7" s="86" t="str">
        <f>Reference!A26</f>
        <v>Consort</v>
      </c>
      <c r="B7" s="64">
        <f>'Epitome Archetype Guide'!T5</f>
        <v>4</v>
      </c>
      <c r="C7" s="64">
        <f>'Epitome Archetype Guide'!X5</f>
        <v>3</v>
      </c>
      <c r="D7" s="64">
        <f>'Epitome Archetype Guide'!Z5</f>
        <v>4</v>
      </c>
      <c r="E7" s="64">
        <f>'Epitome Archetype Guide'!AE5</f>
        <v>4</v>
      </c>
      <c r="F7" s="64">
        <f>'Epitome Archetype Guide'!AH5</f>
        <v>3</v>
      </c>
      <c r="G7" s="64">
        <f>'Epitome Archetype Guide'!AK5</f>
        <v>3</v>
      </c>
      <c r="H7" s="64">
        <f>'Epitome Archetype Guide'!AP5</f>
        <v>3</v>
      </c>
      <c r="I7" s="64">
        <f>'Epitome Archetype Guide'!AV5</f>
        <v>4</v>
      </c>
      <c r="J7" s="64">
        <f>'Epitome Archetype Guide'!AY5</f>
        <v>3</v>
      </c>
      <c r="K7" s="64">
        <f>'Epitome Archetype Guide'!BD5</f>
        <v>3</v>
      </c>
      <c r="L7" s="64">
        <f>'Epitome Archetype Guide'!BG5</f>
        <v>4</v>
      </c>
      <c r="M7" s="64">
        <f>'Epitome Archetype Guide'!BI5</f>
        <v>4</v>
      </c>
      <c r="N7" s="84">
        <f t="shared" si="0"/>
        <v>34</v>
      </c>
    </row>
    <row r="8" spans="1:14" ht="15" x14ac:dyDescent="0.2">
      <c r="A8" s="87" t="str">
        <f>Reference!A27</f>
        <v>Seductress</v>
      </c>
      <c r="B8" s="64">
        <f>'Epitome Archetype Guide'!Q5</f>
        <v>2</v>
      </c>
      <c r="C8" s="64">
        <f>'Epitome Archetype Guide'!W5</f>
        <v>1</v>
      </c>
      <c r="D8" s="64">
        <f>'Epitome Archetype Guide'!AB5</f>
        <v>3</v>
      </c>
      <c r="E8" s="64">
        <f>'Epitome Archetype Guide'!AF5</f>
        <v>3</v>
      </c>
      <c r="F8" s="64">
        <f>'Epitome Archetype Guide'!AI5</f>
        <v>1</v>
      </c>
      <c r="G8" s="64">
        <f>'Epitome Archetype Guide'!AN5</f>
        <v>4</v>
      </c>
      <c r="H8" s="64">
        <f>'Epitome Archetype Guide'!AQ5</f>
        <v>4</v>
      </c>
      <c r="I8" s="64">
        <f>'Epitome Archetype Guide'!AU5</f>
        <v>3</v>
      </c>
      <c r="J8" s="64">
        <f>'Epitome Archetype Guide'!AW5</f>
        <v>2</v>
      </c>
      <c r="K8" s="64">
        <f>'Epitome Archetype Guide'!BB5</f>
        <v>4</v>
      </c>
      <c r="L8" s="64">
        <f>'Epitome Archetype Guide'!BH5</f>
        <v>3</v>
      </c>
      <c r="M8" s="64">
        <f>'Epitome Archetype Guide'!BJ5</f>
        <v>3</v>
      </c>
      <c r="N8" s="88">
        <f t="shared" si="0"/>
        <v>27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2</v>
      </c>
      <c r="C13" s="64">
        <f t="shared" si="1"/>
        <v>3</v>
      </c>
      <c r="D13" s="64">
        <f t="shared" si="1"/>
        <v>3</v>
      </c>
      <c r="E13" s="64">
        <f t="shared" si="1"/>
        <v>4</v>
      </c>
      <c r="F13" s="64">
        <f t="shared" si="1"/>
        <v>3</v>
      </c>
      <c r="G13" s="64">
        <f t="shared" si="1"/>
        <v>4</v>
      </c>
      <c r="H13" s="64">
        <f t="shared" si="1"/>
        <v>4</v>
      </c>
      <c r="I13" s="64">
        <f t="shared" si="1"/>
        <v>4</v>
      </c>
      <c r="J13" s="64">
        <f t="shared" si="1"/>
        <v>4</v>
      </c>
      <c r="K13" s="64">
        <f t="shared" si="1"/>
        <v>3</v>
      </c>
      <c r="L13" s="64">
        <f t="shared" si="1"/>
        <v>3</v>
      </c>
      <c r="M13" s="64">
        <f t="shared" si="1"/>
        <v>3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4</v>
      </c>
      <c r="C14" s="64">
        <f t="shared" si="2"/>
        <v>1</v>
      </c>
      <c r="D14" s="64">
        <f t="shared" si="2"/>
        <v>4</v>
      </c>
      <c r="E14" s="64">
        <f t="shared" si="2"/>
        <v>3</v>
      </c>
      <c r="F14" s="64">
        <f t="shared" si="2"/>
        <v>1</v>
      </c>
      <c r="G14" s="64">
        <f t="shared" si="2"/>
        <v>3</v>
      </c>
      <c r="H14" s="64">
        <f t="shared" si="2"/>
        <v>3</v>
      </c>
      <c r="I14" s="64">
        <f t="shared" si="2"/>
        <v>3</v>
      </c>
      <c r="J14" s="64">
        <f t="shared" si="2"/>
        <v>1</v>
      </c>
      <c r="K14" s="64">
        <f t="shared" si="2"/>
        <v>4</v>
      </c>
      <c r="L14" s="64">
        <f t="shared" si="2"/>
        <v>4</v>
      </c>
      <c r="M14" s="64">
        <f t="shared" si="2"/>
        <v>4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1</v>
      </c>
      <c r="C15" s="64">
        <f t="shared" si="3"/>
        <v>2</v>
      </c>
      <c r="D15" s="64">
        <f t="shared" si="3"/>
        <v>1</v>
      </c>
      <c r="E15" s="64">
        <f t="shared" si="3"/>
        <v>1</v>
      </c>
      <c r="F15" s="64">
        <f t="shared" si="3"/>
        <v>2</v>
      </c>
      <c r="G15" s="64">
        <f t="shared" si="3"/>
        <v>2</v>
      </c>
      <c r="H15" s="64">
        <f t="shared" si="3"/>
        <v>2</v>
      </c>
      <c r="I15" s="64">
        <f t="shared" si="3"/>
        <v>1</v>
      </c>
      <c r="J15" s="64">
        <f t="shared" si="3"/>
        <v>2</v>
      </c>
      <c r="K15" s="64">
        <f t="shared" si="3"/>
        <v>2</v>
      </c>
      <c r="L15" s="64">
        <f t="shared" si="3"/>
        <v>1</v>
      </c>
      <c r="M15" s="64">
        <f t="shared" si="3"/>
        <v>1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3</v>
      </c>
      <c r="C16" s="64">
        <f t="shared" si="4"/>
        <v>4</v>
      </c>
      <c r="D16" s="64">
        <f t="shared" si="4"/>
        <v>2</v>
      </c>
      <c r="E16" s="64">
        <f t="shared" si="4"/>
        <v>2</v>
      </c>
      <c r="F16" s="64">
        <f t="shared" si="4"/>
        <v>4</v>
      </c>
      <c r="G16" s="64">
        <f t="shared" si="4"/>
        <v>1</v>
      </c>
      <c r="H16" s="64">
        <f t="shared" si="4"/>
        <v>1</v>
      </c>
      <c r="I16" s="64">
        <f t="shared" si="4"/>
        <v>2</v>
      </c>
      <c r="J16" s="64">
        <f t="shared" si="4"/>
        <v>3</v>
      </c>
      <c r="K16" s="64">
        <f t="shared" si="4"/>
        <v>1</v>
      </c>
      <c r="L16" s="64">
        <f t="shared" si="4"/>
        <v>2</v>
      </c>
      <c r="M16" s="64">
        <f t="shared" si="4"/>
        <v>2</v>
      </c>
      <c r="N16" s="79"/>
    </row>
    <row r="51" spans="2:3" ht="24" customHeight="1" x14ac:dyDescent="0.15">
      <c r="B51" s="93" t="str">
        <f>$B$4</f>
        <v>Leading</v>
      </c>
      <c r="C51" s="94" t="str">
        <f>IF(SUM($B$5:$B$8)&lt;&gt;0,IF($B$5=MIN($B$5:$B$8), $A$5, IF(SUM(B5:B8)&lt;&gt;0,IF(B6=MIN($B5:$B8), $A$6, IF(SUM(B5:B8)&lt;&gt;0,IF(B7=MIN($B5:$B8), A7, IF(SUM(B5:B8)&lt;&gt;0,IF(B8=MIN($B5:$B8), A8, ""))))))))</f>
        <v>Empress</v>
      </c>
    </row>
    <row r="52" spans="2:3" ht="24" customHeight="1" x14ac:dyDescent="0.15">
      <c r="B52" s="93" t="str">
        <f>$C$4</f>
        <v>Trust</v>
      </c>
      <c r="C52" s="95" t="str">
        <f>IF(SUM(C5:C8)&lt;&gt;0,IF(C5=MIN(C5:C8), $A5, IF(SUM(C5:C8)&lt;&gt;0,IF(C6=MIN(C5:C8), $A6, IF(SUM(C5:C8)&lt;&gt;0,IF(C7=MIN(C5:C8), $A7, IF(SUM(C5:C8)&lt;&gt;0,IF(C8=MIN(C5:C8), $A8, ""))))))))</f>
        <v>Seductress</v>
      </c>
    </row>
    <row r="53" spans="2:3" ht="24" customHeight="1" x14ac:dyDescent="0.15">
      <c r="B53" s="93" t="str">
        <f>$D$4</f>
        <v>Constraints</v>
      </c>
      <c r="C53" s="94" t="str">
        <f>IF(SUM(D5:D8)&lt;&gt;0,IF(D5=MIN(D5:D8), $A5, IF(SUM(D5:D8)&lt;&gt;0,IF(D6=MIN(D5:D8), $A6, IF(SUM(D5:D8)&lt;&gt;0,IF(D7=MIN(D5:D8), $A7, IF(SUM(D5:D8)&lt;&gt;0,IF(D8=MIN(D5:D8), $A8, ""))))))))</f>
        <v>Empress</v>
      </c>
    </row>
    <row r="54" spans="2:3" ht="24" customHeight="1" x14ac:dyDescent="0.15">
      <c r="B54" s="93" t="str">
        <f>$E$4</f>
        <v>Inspiration</v>
      </c>
      <c r="C54" s="95" t="str">
        <f>IF(SUM(E5:E8)&lt;&gt;0,IF(E5=MIN(E5:E8), $A5, IF(SUM(E5:E8)&lt;&gt;0,IF(E6=MIN(E5:E8), $A6, IF(SUM(E5:E8)&lt;&gt;0,IF(E7=MIN(E5:E8), $A7, IF(SUM(E5:E8)&lt;&gt;0,IF(E8=MIN(E5:E8), $A8, ""))))))))</f>
        <v>Sovereign</v>
      </c>
    </row>
    <row r="55" spans="2:3" ht="24" customHeight="1" x14ac:dyDescent="0.15">
      <c r="B55" s="93" t="str">
        <f>$F$4</f>
        <v>Managing Challenges</v>
      </c>
      <c r="C55" s="94" t="str">
        <f>IF(SUM(F5:F8)&lt;&gt;0,IF(F5=MIN(F5:F8), $A5, IF(SUM(F5:F8)&lt;&gt;0,IF(F6=MIN(F5:F8), $A6, IF(SUM(F5:F8)&lt;&gt;0,IF(F7=MIN(F5:F8), $A7, IF(SUM(F5:F8)&lt;&gt;0,IF(F8=MIN(F5:F8), $A8, ""))))))))</f>
        <v>Seductress</v>
      </c>
    </row>
    <row r="56" spans="2:3" ht="24" customHeight="1" x14ac:dyDescent="0.15">
      <c r="B56" s="93" t="str">
        <f>$G$4</f>
        <v>Others View Me</v>
      </c>
      <c r="C56" s="95" t="str">
        <f>IF(SUM(G5:G8)&lt;&gt;0,IF(G5=MIN(G5:G8), $A5, IF(SUM(G5:G8)&lt;&gt;0,IF(G6=MIN(G5:G8), $A6, IF(SUM(G5:G8)&lt;&gt;0,IF(G7=MIN(G5:G8), $A7, IF(SUM(G5:G8)&lt;&gt;0,IF(G8=MIN(G5:G8), $A8, ""))))))))</f>
        <v>Sovereign</v>
      </c>
    </row>
    <row r="57" spans="2:3" ht="24" customHeight="1" x14ac:dyDescent="0.15">
      <c r="B57" s="93" t="str">
        <f>$H$4</f>
        <v>Striving</v>
      </c>
      <c r="C57" s="94" t="str">
        <f>IF(SUM(H5:H8)&lt;&gt;0,IF(H5=MIN(H5:H8), $A5, IF(SUM(H5:H8)&lt;&gt;0,IF(H6=MIN(H5:H8), $A6, IF(SUM(H5:H8)&lt;&gt;0,IF(H7=MIN(H5:H8), $A7, IF(SUM(H5:H8)&lt;&gt;0,IF(H8=MIN(H5:H8), $A8, ""))))))))</f>
        <v>Sovereign</v>
      </c>
    </row>
    <row r="58" spans="2:3" ht="24" customHeight="1" x14ac:dyDescent="0.15">
      <c r="B58" s="93" t="str">
        <f>$I$4</f>
        <v>Working With Peers</v>
      </c>
      <c r="C58" s="95" t="str">
        <f>IF(SUM(I5:I8)&lt;&gt;0,IF(I5=MIN(I5:I8), $A5, IF(SUM(I5:I8)&lt;&gt;0,IF(I6=MIN(I5:I8), $A6, IF(SUM(I5:I8)&lt;&gt;0,IF(I7=MIN(I5:I8), $A7, IF(SUM(I5:I8)&lt;&gt;0,IF(I8=MIN(I5:I8), $A8, ""))))))))</f>
        <v>Sovereign</v>
      </c>
    </row>
    <row r="59" spans="2:3" ht="24" customHeight="1" x14ac:dyDescent="0.15">
      <c r="B59" s="93" t="str">
        <f>$J$4</f>
        <v>At Your Worst</v>
      </c>
      <c r="C59" s="94" t="str">
        <f>IF(SUM(J5:J8)&lt;&gt;0,IF(J5=MIN(J5:J8), $A5, IF(SUM(J5:J8)&lt;&gt;0,IF(J6=MIN(J5:J8), $A6, IF(SUM(J5:J8)&lt;&gt;0,IF(J7=MIN(J5:J8), $A7, IF(SUM(J5:J8)&lt;&gt;0,IF(J8=MIN(J5:J8), $A8, ""))))))))</f>
        <v>Sovereign</v>
      </c>
    </row>
    <row r="60" spans="2:3" ht="24" customHeight="1" x14ac:dyDescent="0.15">
      <c r="B60" s="93" t="str">
        <f>$K$4</f>
        <v>Confidence</v>
      </c>
      <c r="C60" s="94" t="str">
        <f>IF(SUM(K5:K8)&lt;&gt;0,IF(K5=MIN(K5:K8), $A5, IF(SUM(K5:K8)&lt;&gt;0,IF(K6=MIN(K5:K8), $A6, IF(SUM(K5:K8)&lt;&gt;0,IF(K7=MIN(K5:K8), $A7, IF(SUM(K5:K8)&lt;&gt;0,IF(K8=MIN(K5:K8), $A8, ""))))))))</f>
        <v>Empress</v>
      </c>
    </row>
    <row r="61" spans="2:3" ht="24" customHeight="1" x14ac:dyDescent="0.15">
      <c r="B61" s="93" t="str">
        <f>$L$4</f>
        <v>Power</v>
      </c>
      <c r="C61" s="94" t="str">
        <f>IF(SUM(L5:L8)&lt;&gt;0,IF(L5=MIN(L5:L8), $A5, IF(SUM(L5:L8)&lt;&gt;0,IF(L6=MIN(L5:L8), $A6, IF(SUM(L5:L8)&lt;&gt;0,IF(L7=MIN(L5:L8), $A7, IF(SUM(L5:L8)&lt;&gt;0,IF(L8=MIN(L5:L8), $A8, ""))))))))</f>
        <v>Empress</v>
      </c>
    </row>
    <row r="62" spans="2:3" ht="21.75" customHeight="1" x14ac:dyDescent="0.15">
      <c r="B62" s="93" t="str">
        <f>$M$4</f>
        <v>Ambition</v>
      </c>
      <c r="C62" s="94" t="str">
        <f>IF(SUM(M5:M8)&lt;&gt;0,IF(M5=MIN(M5:M8), $A5, IF(SUM(M5:M8)&lt;&gt;0,IF(M6=MIN(M5:M8), $A6, IF(SUM(M5:M8)&lt;&gt;0,IF(M7=MIN(M5:M8), $A7, IF(SUM(M5:M8)&lt;&gt;0,IF(M8=MIN(M5:M8), $A8, ""))))))))</f>
        <v>Empress</v>
      </c>
    </row>
  </sheetData>
  <conditionalFormatting sqref="B2:E2">
    <cfRule type="containsText" dxfId="267" priority="7" operator="containsText" text="Empress">
      <formula>NOT(ISERROR(SEARCH(("Empress"),(B2))))</formula>
    </cfRule>
    <cfRule type="containsText" dxfId="266" priority="8" operator="containsText" text="Seductress">
      <formula>NOT(ISERROR(SEARCH(("Seductress"),(B2))))</formula>
    </cfRule>
    <cfRule type="containsText" dxfId="265" priority="9" operator="containsText" text="Consort">
      <formula>NOT(ISERROR(SEARCH(("Consort"),(B2))))</formula>
    </cfRule>
    <cfRule type="containsText" dxfId="264" priority="10" operator="containsText" text="Sovereign">
      <formula>NOT(ISERROR(SEARCH(("Sovereign"),(B2))))</formula>
    </cfRule>
  </conditionalFormatting>
  <conditionalFormatting sqref="C51:C62">
    <cfRule type="containsText" dxfId="263" priority="1" operator="containsText" text="Consort">
      <formula>NOT(ISERROR(SEARCH(("Consort"),(C51))))</formula>
    </cfRule>
    <cfRule type="containsText" dxfId="262" priority="2" operator="containsText" text="Sovereign">
      <formula>NOT(ISERROR(SEARCH(("Sovereign"),(C51))))</formula>
    </cfRule>
    <cfRule type="containsText" dxfId="261" priority="3" operator="containsText" text="Seductress">
      <formula>NOT(ISERROR(SEARCH(("Seductress"),(C51))))</formula>
    </cfRule>
    <cfRule type="containsText" dxfId="260" priority="4" operator="containsText" text="Empress">
      <formula>NOT(ISERROR(SEARCH(("Empress"),(C51))))</formula>
    </cfRule>
  </conditionalFormatting>
  <conditionalFormatting sqref="L5:M8 B5:K9 L13:M16">
    <cfRule type="cellIs" dxfId="259" priority="5" operator="equal">
      <formula>1</formula>
    </cfRule>
  </conditionalFormatting>
  <conditionalFormatting sqref="L13:M16 B13:K17">
    <cfRule type="cellIs" dxfId="258" priority="6" operator="equal">
      <formula>4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0.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 t="str">
        <f>'Epitome Archetype Guide'!M6</f>
        <v>Erikka</v>
      </c>
      <c r="B1" s="77" t="str">
        <f>'Epitome Archetype Guide'!N6</f>
        <v xml:space="preserve">Buracchio </v>
      </c>
      <c r="C1" s="2" t="s">
        <v>241</v>
      </c>
      <c r="D1" s="78" t="str">
        <f>'Epitome Archetype Guide'!P6</f>
        <v>Retired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str">
        <f>Analysis!I6</f>
        <v>Sovereign</v>
      </c>
      <c r="C2" s="60" t="str">
        <f>Analysis!J6</f>
        <v/>
      </c>
      <c r="D2" s="60" t="str">
        <f>Analysis!K6</f>
        <v/>
      </c>
      <c r="E2" s="60" t="str">
        <f>Analysis!L6</f>
        <v/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Guide'!S6</f>
        <v>1</v>
      </c>
      <c r="C5" s="64">
        <f>'Epitome Archetype Guide'!U6</f>
        <v>3</v>
      </c>
      <c r="D5" s="64">
        <f>'Epitome Archetype Guide'!Y6</f>
        <v>1</v>
      </c>
      <c r="E5" s="64">
        <f>'Epitome Archetype Guide'!AD6</f>
        <v>1</v>
      </c>
      <c r="F5" s="64">
        <f>'Epitome Archetype Guide'!AJ6</f>
        <v>2</v>
      </c>
      <c r="G5" s="64">
        <f>'Epitome Archetype Guide'!AM6</f>
        <v>2</v>
      </c>
      <c r="H5" s="64">
        <f>'Epitome Archetype Guide'!AO6</f>
        <v>1</v>
      </c>
      <c r="I5" s="64">
        <f>'Epitome Archetype Guide'!AT6</f>
        <v>2</v>
      </c>
      <c r="J5" s="64">
        <f>'Epitome Archetype Guide'!AZ6</f>
        <v>1</v>
      </c>
      <c r="K5" s="64">
        <f>'Epitome Archetype Guide'!BC6</f>
        <v>2</v>
      </c>
      <c r="L5" s="64">
        <f>'Epitome Archetype Guide'!BF6</f>
        <v>1</v>
      </c>
      <c r="M5" s="64">
        <f>'Epitome Archetype Guide'!BL6</f>
        <v>3</v>
      </c>
      <c r="N5" s="84">
        <f t="shared" ref="N5:N8" si="0">SUM(B5:K5)</f>
        <v>16</v>
      </c>
    </row>
    <row r="6" spans="1:14" ht="15" x14ac:dyDescent="0.2">
      <c r="A6" s="85" t="str">
        <f>Reference!A25</f>
        <v>Empress</v>
      </c>
      <c r="B6" s="64">
        <f>'Epitome Archetype Guide'!R6</f>
        <v>2</v>
      </c>
      <c r="C6" s="64">
        <f>'Epitome Archetype Guide'!V6</f>
        <v>1</v>
      </c>
      <c r="D6" s="64">
        <f>'Epitome Archetype Guide'!AA6</f>
        <v>3</v>
      </c>
      <c r="E6" s="64">
        <f>'Epitome Archetype Guide'!AC6</f>
        <v>3</v>
      </c>
      <c r="F6" s="64">
        <f>'Epitome Archetype Guide'!AG6</f>
        <v>1</v>
      </c>
      <c r="G6" s="64">
        <f>'Epitome Archetype Guide'!AL6</f>
        <v>1</v>
      </c>
      <c r="H6" s="64">
        <f>'Epitome Archetype Guide'!AR6</f>
        <v>2</v>
      </c>
      <c r="I6" s="64">
        <f>'Epitome Archetype Guide'!AS6</f>
        <v>1</v>
      </c>
      <c r="J6" s="64">
        <f>'Epitome Archetype Guide'!AX6</f>
        <v>2</v>
      </c>
      <c r="K6" s="64">
        <f>'Epitome Archetype Guide'!BA6</f>
        <v>1</v>
      </c>
      <c r="L6" s="64">
        <f>'Epitome Archetype Guide'!BE6</f>
        <v>2</v>
      </c>
      <c r="M6" s="64">
        <f>'Epitome Archetype Guide'!BK6</f>
        <v>1</v>
      </c>
      <c r="N6" s="84">
        <f t="shared" si="0"/>
        <v>17</v>
      </c>
    </row>
    <row r="7" spans="1:14" ht="15" x14ac:dyDescent="0.2">
      <c r="A7" s="86" t="str">
        <f>Reference!A26</f>
        <v>Consort</v>
      </c>
      <c r="B7" s="64">
        <f>'Epitome Archetype Guide'!T6</f>
        <v>4</v>
      </c>
      <c r="C7" s="64">
        <f>'Epitome Archetype Guide'!X6</f>
        <v>2</v>
      </c>
      <c r="D7" s="64">
        <f>'Epitome Archetype Guide'!Z6</f>
        <v>2</v>
      </c>
      <c r="E7" s="64">
        <f>'Epitome Archetype Guide'!AE6</f>
        <v>2</v>
      </c>
      <c r="F7" s="64">
        <f>'Epitome Archetype Guide'!AH6</f>
        <v>3</v>
      </c>
      <c r="G7" s="64">
        <f>'Epitome Archetype Guide'!AK6</f>
        <v>4</v>
      </c>
      <c r="H7" s="64">
        <f>'Epitome Archetype Guide'!AP6</f>
        <v>3</v>
      </c>
      <c r="I7" s="64">
        <f>'Epitome Archetype Guide'!AV6</f>
        <v>3</v>
      </c>
      <c r="J7" s="64">
        <f>'Epitome Archetype Guide'!AY6</f>
        <v>3</v>
      </c>
      <c r="K7" s="64">
        <f>'Epitome Archetype Guide'!BD6</f>
        <v>4</v>
      </c>
      <c r="L7" s="64">
        <f>'Epitome Archetype Guide'!BG6</f>
        <v>3</v>
      </c>
      <c r="M7" s="64">
        <f>'Epitome Archetype Guide'!BI6</f>
        <v>2</v>
      </c>
      <c r="N7" s="84">
        <f t="shared" si="0"/>
        <v>30</v>
      </c>
    </row>
    <row r="8" spans="1:14" ht="15" x14ac:dyDescent="0.2">
      <c r="A8" s="87" t="str">
        <f>Reference!A27</f>
        <v>Seductress</v>
      </c>
      <c r="B8" s="64">
        <f>'Epitome Archetype Guide'!Q6</f>
        <v>3</v>
      </c>
      <c r="C8" s="64">
        <f>'Epitome Archetype Guide'!W6</f>
        <v>4</v>
      </c>
      <c r="D8" s="64">
        <f>'Epitome Archetype Guide'!AB6</f>
        <v>4</v>
      </c>
      <c r="E8" s="64">
        <f>'Epitome Archetype Guide'!AF6</f>
        <v>4</v>
      </c>
      <c r="F8" s="64">
        <f>'Epitome Archetype Guide'!AI6</f>
        <v>4</v>
      </c>
      <c r="G8" s="64">
        <f>'Epitome Archetype Guide'!AN6</f>
        <v>3</v>
      </c>
      <c r="H8" s="64">
        <f>'Epitome Archetype Guide'!AQ6</f>
        <v>4</v>
      </c>
      <c r="I8" s="64">
        <f>'Epitome Archetype Guide'!AU6</f>
        <v>4</v>
      </c>
      <c r="J8" s="64">
        <f>'Epitome Archetype Guide'!AW6</f>
        <v>4</v>
      </c>
      <c r="K8" s="64">
        <f>'Epitome Archetype Guide'!BB6</f>
        <v>3</v>
      </c>
      <c r="L8" s="64">
        <f>'Epitome Archetype Guide'!BH6</f>
        <v>4</v>
      </c>
      <c r="M8" s="64">
        <f>'Epitome Archetype Guide'!BJ6</f>
        <v>4</v>
      </c>
      <c r="N8" s="88">
        <f t="shared" si="0"/>
        <v>37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4</v>
      </c>
      <c r="C13" s="64">
        <f t="shared" si="1"/>
        <v>2</v>
      </c>
      <c r="D13" s="64">
        <f t="shared" si="1"/>
        <v>4</v>
      </c>
      <c r="E13" s="64">
        <f t="shared" si="1"/>
        <v>4</v>
      </c>
      <c r="F13" s="64">
        <f t="shared" si="1"/>
        <v>3</v>
      </c>
      <c r="G13" s="64">
        <f t="shared" si="1"/>
        <v>3</v>
      </c>
      <c r="H13" s="64">
        <f t="shared" si="1"/>
        <v>4</v>
      </c>
      <c r="I13" s="64">
        <f t="shared" si="1"/>
        <v>3</v>
      </c>
      <c r="J13" s="64">
        <f t="shared" si="1"/>
        <v>4</v>
      </c>
      <c r="K13" s="64">
        <f t="shared" si="1"/>
        <v>3</v>
      </c>
      <c r="L13" s="64">
        <f t="shared" si="1"/>
        <v>4</v>
      </c>
      <c r="M13" s="64">
        <f t="shared" si="1"/>
        <v>2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3</v>
      </c>
      <c r="C14" s="64">
        <f t="shared" si="2"/>
        <v>4</v>
      </c>
      <c r="D14" s="64">
        <f t="shared" si="2"/>
        <v>2</v>
      </c>
      <c r="E14" s="64">
        <f t="shared" si="2"/>
        <v>2</v>
      </c>
      <c r="F14" s="64">
        <f t="shared" si="2"/>
        <v>4</v>
      </c>
      <c r="G14" s="64">
        <f t="shared" si="2"/>
        <v>4</v>
      </c>
      <c r="H14" s="64">
        <f t="shared" si="2"/>
        <v>3</v>
      </c>
      <c r="I14" s="64">
        <f t="shared" si="2"/>
        <v>4</v>
      </c>
      <c r="J14" s="64">
        <f t="shared" si="2"/>
        <v>3</v>
      </c>
      <c r="K14" s="64">
        <f t="shared" si="2"/>
        <v>4</v>
      </c>
      <c r="L14" s="64">
        <f t="shared" si="2"/>
        <v>3</v>
      </c>
      <c r="M14" s="64">
        <f t="shared" si="2"/>
        <v>4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1</v>
      </c>
      <c r="C15" s="64">
        <f t="shared" si="3"/>
        <v>3</v>
      </c>
      <c r="D15" s="64">
        <f t="shared" si="3"/>
        <v>3</v>
      </c>
      <c r="E15" s="64">
        <f t="shared" si="3"/>
        <v>3</v>
      </c>
      <c r="F15" s="64">
        <f t="shared" si="3"/>
        <v>2</v>
      </c>
      <c r="G15" s="64">
        <f t="shared" si="3"/>
        <v>1</v>
      </c>
      <c r="H15" s="64">
        <f t="shared" si="3"/>
        <v>2</v>
      </c>
      <c r="I15" s="64">
        <f t="shared" si="3"/>
        <v>2</v>
      </c>
      <c r="J15" s="64">
        <f t="shared" si="3"/>
        <v>2</v>
      </c>
      <c r="K15" s="64">
        <f t="shared" si="3"/>
        <v>1</v>
      </c>
      <c r="L15" s="64">
        <f t="shared" si="3"/>
        <v>2</v>
      </c>
      <c r="M15" s="64">
        <f t="shared" si="3"/>
        <v>3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2</v>
      </c>
      <c r="C16" s="64">
        <f t="shared" si="4"/>
        <v>1</v>
      </c>
      <c r="D16" s="64">
        <f t="shared" si="4"/>
        <v>1</v>
      </c>
      <c r="E16" s="64">
        <f t="shared" si="4"/>
        <v>1</v>
      </c>
      <c r="F16" s="64">
        <f t="shared" si="4"/>
        <v>1</v>
      </c>
      <c r="G16" s="64">
        <f t="shared" si="4"/>
        <v>2</v>
      </c>
      <c r="H16" s="64">
        <f t="shared" si="4"/>
        <v>1</v>
      </c>
      <c r="I16" s="64">
        <f t="shared" si="4"/>
        <v>1</v>
      </c>
      <c r="J16" s="64">
        <f t="shared" si="4"/>
        <v>1</v>
      </c>
      <c r="K16" s="64">
        <f t="shared" si="4"/>
        <v>2</v>
      </c>
      <c r="L16" s="64">
        <f t="shared" si="4"/>
        <v>1</v>
      </c>
      <c r="M16" s="64">
        <f t="shared" si="4"/>
        <v>1</v>
      </c>
      <c r="N16" s="79"/>
    </row>
    <row r="51" spans="2:3" ht="27" customHeight="1" x14ac:dyDescent="0.15">
      <c r="B51" s="98" t="str">
        <f>$B$4</f>
        <v>Leading</v>
      </c>
      <c r="C51" s="99" t="str">
        <f>IF(SUM($B$5:$B$8)&lt;&gt;0,IF($B$5=MIN($B$5:$B$8), $A$5, IF(SUM(B5:B8)&lt;&gt;0,IF(B6=MIN($B5:$B8), $A$6, IF(SUM(B5:B8)&lt;&gt;0,IF(B7=MIN($B5:$B8), A7, IF(SUM(B5:B8)&lt;&gt;0,IF(B8=MIN($B5:$B8), A8, ""))))))))</f>
        <v>Sovereign</v>
      </c>
    </row>
    <row r="52" spans="2:3" ht="27" customHeight="1" x14ac:dyDescent="0.15">
      <c r="B52" s="98" t="str">
        <f>$C$4</f>
        <v>Trust</v>
      </c>
      <c r="C52" s="99" t="str">
        <f>IF(SUM(C5:C8)&lt;&gt;0,IF(C5=MIN(C5:C8), $A5, IF(SUM(C5:C8)&lt;&gt;0,IF(C6=MIN(C5:C8), $A6, IF(SUM(C5:C8)&lt;&gt;0,IF(C7=MIN(C5:C8), $A7, IF(SUM(C5:C8)&lt;&gt;0,IF(C8=MIN(C5:C8), $A8, ""))))))))</f>
        <v>Empress</v>
      </c>
    </row>
    <row r="53" spans="2:3" ht="27" customHeight="1" x14ac:dyDescent="0.15">
      <c r="B53" s="98" t="str">
        <f>$D$4</f>
        <v>Constraints</v>
      </c>
      <c r="C53" s="99" t="str">
        <f>IF(SUM(D5:D8)&lt;&gt;0,IF(D5=MIN(D5:D8), $A5, IF(SUM(D5:D8)&lt;&gt;0,IF(D6=MIN(D5:D8), $A6, IF(SUM(D5:D8)&lt;&gt;0,IF(D7=MIN(D5:D8), $A7, IF(SUM(D5:D8)&lt;&gt;0,IF(D8=MIN(D5:D8), $A8, ""))))))))</f>
        <v>Sovereign</v>
      </c>
    </row>
    <row r="54" spans="2:3" ht="27" customHeight="1" x14ac:dyDescent="0.15">
      <c r="B54" s="98" t="str">
        <f>$E$4</f>
        <v>Inspiration</v>
      </c>
      <c r="C54" s="100" t="str">
        <f>IF(SUM(E5:E8)&lt;&gt;0,IF(E5=MIN(E5:E8), $A5, IF(SUM(E5:E8)&lt;&gt;0,IF(E6=MIN(E5:E8), $A6, IF(SUM(E5:E8)&lt;&gt;0,IF(E7=MIN(E5:E8), $A7, IF(SUM(E5:E8)&lt;&gt;0,IF(E8=MIN(E5:E8), $A8, ""))))))))</f>
        <v>Sovereign</v>
      </c>
    </row>
    <row r="55" spans="2:3" ht="27" customHeight="1" x14ac:dyDescent="0.15">
      <c r="B55" s="98" t="str">
        <f>$F$4</f>
        <v>Managing Challenges</v>
      </c>
      <c r="C55" s="100" t="str">
        <f>IF(SUM(F5:F8)&lt;&gt;0,IF(F5=MIN(F5:F8), $A5, IF(SUM(F5:F8)&lt;&gt;0,IF(F6=MIN(F5:F8), $A6, IF(SUM(F5:F8)&lt;&gt;0,IF(F7=MIN(F5:F8), $A7, IF(SUM(F5:F8)&lt;&gt;0,IF(F8=MIN(F5:F8), $A8, ""))))))))</f>
        <v>Empress</v>
      </c>
    </row>
    <row r="56" spans="2:3" ht="27" customHeight="1" x14ac:dyDescent="0.15">
      <c r="B56" s="98" t="str">
        <f>$G$4</f>
        <v>Others View Me</v>
      </c>
      <c r="C56" s="99" t="str">
        <f>IF(SUM(G5:G8)&lt;&gt;0,IF(G5=MIN(G5:G8), $A5, IF(SUM(G5:G8)&lt;&gt;0,IF(G6=MIN(G5:G8), $A6, IF(SUM(G5:G8)&lt;&gt;0,IF(G7=MIN(G5:G8), $A7, IF(SUM(G5:G8)&lt;&gt;0,IF(G8=MIN(G5:G8), $A8, ""))))))))</f>
        <v>Empress</v>
      </c>
    </row>
    <row r="57" spans="2:3" ht="27" customHeight="1" x14ac:dyDescent="0.15">
      <c r="B57" s="98" t="str">
        <f>$H$4</f>
        <v>Striving</v>
      </c>
      <c r="C57" s="100" t="str">
        <f>IF(SUM(H5:H8)&lt;&gt;0,IF(H5=MIN(H5:H8), $A5, IF(SUM(H5:H8)&lt;&gt;0,IF(H6=MIN(H5:H8), $A6, IF(SUM(H5:H8)&lt;&gt;0,IF(H7=MIN(H5:H8), $A7, IF(SUM(H5:H8)&lt;&gt;0,IF(H8=MIN(H5:H8), $A8, ""))))))))</f>
        <v>Sovereign</v>
      </c>
    </row>
    <row r="58" spans="2:3" ht="27" customHeight="1" x14ac:dyDescent="0.15">
      <c r="B58" s="98" t="str">
        <f>$I$4</f>
        <v>Working With Peers</v>
      </c>
      <c r="C58" s="100" t="str">
        <f>IF(SUM(I5:I8)&lt;&gt;0,IF(I5=MIN(I5:I8), $A5, IF(SUM(I5:I8)&lt;&gt;0,IF(I6=MIN(I5:I8), $A6, IF(SUM(I5:I8)&lt;&gt;0,IF(I7=MIN(I5:I8), $A7, IF(SUM(I5:I8)&lt;&gt;0,IF(I8=MIN(I5:I8), $A8, ""))))))))</f>
        <v>Empress</v>
      </c>
    </row>
    <row r="59" spans="2:3" ht="27" customHeight="1" x14ac:dyDescent="0.15">
      <c r="B59" s="98" t="str">
        <f>$J$4</f>
        <v>At Your Worst</v>
      </c>
      <c r="C59" s="99" t="str">
        <f>IF(SUM(J5:J8)&lt;&gt;0,IF(J5=MIN(J5:J8), $A5, IF(SUM(J5:J8)&lt;&gt;0,IF(J6=MIN(J5:J8), $A6, IF(SUM(J5:J8)&lt;&gt;0,IF(J7=MIN(J5:J8), $A7, IF(SUM(J5:J8)&lt;&gt;0,IF(J8=MIN(J5:J8), $A8, ""))))))))</f>
        <v>Sovereign</v>
      </c>
    </row>
    <row r="60" spans="2:3" ht="27" customHeight="1" x14ac:dyDescent="0.15">
      <c r="B60" s="98" t="str">
        <f>$K$4</f>
        <v>Confidence</v>
      </c>
      <c r="C60" s="100" t="str">
        <f>IF(SUM(K5:K8)&lt;&gt;0,IF(K5=MIN(K5:K8), $A5, IF(SUM(K5:K8)&lt;&gt;0,IF(K6=MIN(K5:K8), $A6, IF(SUM(K5:K8)&lt;&gt;0,IF(K7=MIN(K5:K8), $A7, IF(SUM(K5:K8)&lt;&gt;0,IF(K8=MIN(K5:K8), $A8, ""))))))))</f>
        <v>Empress</v>
      </c>
    </row>
    <row r="61" spans="2:3" ht="26.25" customHeight="1" x14ac:dyDescent="0.15">
      <c r="B61" s="93" t="str">
        <f>$L$4</f>
        <v>Power</v>
      </c>
      <c r="C61" s="100" t="str">
        <f>IF(SUM(L5:L8)&lt;&gt;0,IF(L5=MIN(L5:L8), $A5, IF(SUM(L5:L8)&lt;&gt;0,IF(L6=MIN(L5:L8), $A6, IF(SUM(L5:L8)&lt;&gt;0,IF(L7=MIN(L5:L8), $A7, IF(SUM(L5:L8)&lt;&gt;0,IF(L8=MIN(L5:L8), $A8, ""))))))))</f>
        <v>Sovereign</v>
      </c>
    </row>
    <row r="62" spans="2:3" ht="31.5" customHeight="1" x14ac:dyDescent="0.15">
      <c r="B62" s="93" t="str">
        <f>$M$4</f>
        <v>Ambition</v>
      </c>
      <c r="C62" s="100" t="str">
        <f>IF(SUM(M5:M8)&lt;&gt;0,IF(M5=MIN(M5:M8), $A5, IF(SUM(M5:M8)&lt;&gt;0,IF(M6=MIN(M5:M8), $A6, IF(SUM(M5:M8)&lt;&gt;0,IF(M7=MIN(M5:M8), $A7, IF(SUM(M5:M8)&lt;&gt;0,IF(M8=MIN(M5:M8), $A8, ""))))))))</f>
        <v>Empress</v>
      </c>
    </row>
  </sheetData>
  <conditionalFormatting sqref="B2:E2">
    <cfRule type="containsText" dxfId="257" priority="4" operator="containsText" text="Empress">
      <formula>NOT(ISERROR(SEARCH(("Empress"),(B2))))</formula>
    </cfRule>
    <cfRule type="containsText" dxfId="256" priority="5" operator="containsText" text="Seductress">
      <formula>NOT(ISERROR(SEARCH(("Seductress"),(B2))))</formula>
    </cfRule>
    <cfRule type="containsText" dxfId="255" priority="6" operator="containsText" text="Consort">
      <formula>NOT(ISERROR(SEARCH(("Consort"),(B2))))</formula>
    </cfRule>
    <cfRule type="containsText" dxfId="254" priority="7" operator="containsText" text="Sovereign">
      <formula>NOT(ISERROR(SEARCH(("Sovereign"),(B2))))</formula>
    </cfRule>
  </conditionalFormatting>
  <conditionalFormatting sqref="C51:C62">
    <cfRule type="containsText" dxfId="253" priority="12" operator="containsText" text="Empress">
      <formula>NOT(ISERROR(SEARCH(("Empress"),(C51))))</formula>
    </cfRule>
    <cfRule type="containsText" dxfId="252" priority="13" operator="containsText" text="Cohort">
      <formula>NOT(ISERROR(SEARCH(("Cohort"),(C51))))</formula>
    </cfRule>
    <cfRule type="containsText" dxfId="251" priority="14" operator="containsText" text="Sovereign">
      <formula>NOT(ISERROR(SEARCH(("Sovereign"),(C51))))</formula>
    </cfRule>
    <cfRule type="containsText" dxfId="250" priority="15" operator="containsText" text="Seductress">
      <formula>NOT(ISERROR(SEARCH(("Seductress"),(C51))))</formula>
    </cfRule>
  </conditionalFormatting>
  <conditionalFormatting sqref="C61:C62">
    <cfRule type="containsText" dxfId="249" priority="1" operator="containsText" text="Consort">
      <formula>NOT(ISERROR(SEARCH(("Consort"),(C61))))</formula>
    </cfRule>
  </conditionalFormatting>
  <conditionalFormatting sqref="L5:M8 B5:K9">
    <cfRule type="cellIs" dxfId="248" priority="2" operator="equal">
      <formula>1</formula>
    </cfRule>
  </conditionalFormatting>
  <conditionalFormatting sqref="L13:M16 B13:K17">
    <cfRule type="cellIs" dxfId="247" priority="3" operator="equal">
      <formula>4</formula>
    </cfRule>
  </conditionalFormatting>
  <conditionalFormatting sqref="N5">
    <cfRule type="expression" dxfId="246" priority="8">
      <formula>AND(N5 = MIN($N5:$N8))</formula>
    </cfRule>
  </conditionalFormatting>
  <conditionalFormatting sqref="N6">
    <cfRule type="expression" dxfId="245" priority="9">
      <formula>AND(N6 = MIN($N5:$N8))</formula>
    </cfRule>
  </conditionalFormatting>
  <conditionalFormatting sqref="N7">
    <cfRule type="expression" dxfId="244" priority="10">
      <formula>AND(N7 = MIN($N5:$N8))</formula>
    </cfRule>
  </conditionalFormatting>
  <conditionalFormatting sqref="N8">
    <cfRule type="expression" dxfId="243" priority="11">
      <formula>AND(N8 = MIN($N5:$N8))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9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 t="str">
        <f>'Epitome Archetype Guide'!M7</f>
        <v>Jill</v>
      </c>
      <c r="B1" s="77" t="str">
        <f>'Epitome Archetype Guide'!N7</f>
        <v>Shapiro</v>
      </c>
      <c r="C1" s="2" t="s">
        <v>241</v>
      </c>
      <c r="D1" s="78" t="str">
        <f>'Epitome Archetype Guide'!P7</f>
        <v>AltX Financial Group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str">
        <f>Analysis!I7</f>
        <v>Sovereign</v>
      </c>
      <c r="C2" s="60" t="str">
        <f>Analysis!J7</f>
        <v/>
      </c>
      <c r="D2" s="60" t="str">
        <f>Analysis!K7</f>
        <v>Consort</v>
      </c>
      <c r="E2" s="60" t="str">
        <f>Analysis!L7</f>
        <v/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Guide'!S7</f>
        <v>2</v>
      </c>
      <c r="C5" s="64">
        <f>'Epitome Archetype Guide'!U7</f>
        <v>3</v>
      </c>
      <c r="D5" s="64">
        <f>'Epitome Archetype Guide'!Y7</f>
        <v>2</v>
      </c>
      <c r="E5" s="64">
        <f>'Epitome Archetype Guide'!AD7</f>
        <v>2</v>
      </c>
      <c r="F5" s="64">
        <f>'Epitome Archetype Guide'!AJ7</f>
        <v>3</v>
      </c>
      <c r="G5" s="64">
        <f>'Epitome Archetype Guide'!AM7</f>
        <v>1</v>
      </c>
      <c r="H5" s="64">
        <f>'Epitome Archetype Guide'!AO7</f>
        <v>2</v>
      </c>
      <c r="I5" s="64">
        <f>'Epitome Archetype Guide'!AT7</f>
        <v>1</v>
      </c>
      <c r="J5" s="64">
        <f>'Epitome Archetype Guide'!AZ7</f>
        <v>2</v>
      </c>
      <c r="K5" s="64">
        <f>'Epitome Archetype Guide'!BC7</f>
        <v>2</v>
      </c>
      <c r="L5" s="64">
        <f>'Epitome Archetype Guide'!BF7</f>
        <v>1</v>
      </c>
      <c r="M5" s="64">
        <f>'Epitome Archetype Guide'!BL7</f>
        <v>4</v>
      </c>
      <c r="N5" s="84">
        <f t="shared" ref="N5:N8" si="0">SUM(B5:K5)</f>
        <v>20</v>
      </c>
    </row>
    <row r="6" spans="1:14" ht="15" x14ac:dyDescent="0.2">
      <c r="A6" s="85" t="str">
        <f>Reference!A25</f>
        <v>Empress</v>
      </c>
      <c r="B6" s="64">
        <f>'Epitome Archetype Guide'!R7</f>
        <v>4</v>
      </c>
      <c r="C6" s="64">
        <f>'Epitome Archetype Guide'!V7</f>
        <v>1</v>
      </c>
      <c r="D6" s="64">
        <f>'Epitome Archetype Guide'!AA7</f>
        <v>3</v>
      </c>
      <c r="E6" s="64">
        <f>'Epitome Archetype Guide'!AC7</f>
        <v>1</v>
      </c>
      <c r="F6" s="64">
        <f>'Epitome Archetype Guide'!AG7</f>
        <v>4</v>
      </c>
      <c r="G6" s="64">
        <f>'Epitome Archetype Guide'!AL7</f>
        <v>3</v>
      </c>
      <c r="H6" s="64">
        <f>'Epitome Archetype Guide'!AR7</f>
        <v>4</v>
      </c>
      <c r="I6" s="64">
        <f>'Epitome Archetype Guide'!AS7</f>
        <v>4</v>
      </c>
      <c r="J6" s="64">
        <f>'Epitome Archetype Guide'!AX7</f>
        <v>3</v>
      </c>
      <c r="K6" s="64">
        <f>'Epitome Archetype Guide'!BA7</f>
        <v>3</v>
      </c>
      <c r="L6" s="64">
        <f>'Epitome Archetype Guide'!BE7</f>
        <v>3</v>
      </c>
      <c r="M6" s="64">
        <f>'Epitome Archetype Guide'!BK7</f>
        <v>1</v>
      </c>
      <c r="N6" s="84">
        <f t="shared" si="0"/>
        <v>30</v>
      </c>
    </row>
    <row r="7" spans="1:14" ht="15" x14ac:dyDescent="0.2">
      <c r="A7" s="86" t="str">
        <f>Reference!A26</f>
        <v>Consort</v>
      </c>
      <c r="B7" s="64">
        <f>'Epitome Archetype Guide'!T7</f>
        <v>1</v>
      </c>
      <c r="C7" s="64">
        <f>'Epitome Archetype Guide'!X7</f>
        <v>4</v>
      </c>
      <c r="D7" s="64">
        <f>'Epitome Archetype Guide'!Z7</f>
        <v>1</v>
      </c>
      <c r="E7" s="64">
        <f>'Epitome Archetype Guide'!AE7</f>
        <v>3</v>
      </c>
      <c r="F7" s="64">
        <f>'Epitome Archetype Guide'!AH7</f>
        <v>1</v>
      </c>
      <c r="G7" s="64">
        <f>'Epitome Archetype Guide'!AK7</f>
        <v>2</v>
      </c>
      <c r="H7" s="64">
        <f>'Epitome Archetype Guide'!AP7</f>
        <v>1</v>
      </c>
      <c r="I7" s="64">
        <f>'Epitome Archetype Guide'!AV7</f>
        <v>2</v>
      </c>
      <c r="J7" s="64">
        <f>'Epitome Archetype Guide'!AY7</f>
        <v>1</v>
      </c>
      <c r="K7" s="64">
        <f>'Epitome Archetype Guide'!BD7</f>
        <v>4</v>
      </c>
      <c r="L7" s="64">
        <f>'Epitome Archetype Guide'!BG7</f>
        <v>2</v>
      </c>
      <c r="M7" s="64">
        <f>'Epitome Archetype Guide'!BI7</f>
        <v>2</v>
      </c>
      <c r="N7" s="84">
        <f t="shared" si="0"/>
        <v>20</v>
      </c>
    </row>
    <row r="8" spans="1:14" ht="15" x14ac:dyDescent="0.2">
      <c r="A8" s="87" t="str">
        <f>Reference!A27</f>
        <v>Seductress</v>
      </c>
      <c r="B8" s="64">
        <f>'Epitome Archetype Guide'!Q7</f>
        <v>3</v>
      </c>
      <c r="C8" s="64">
        <f>'Epitome Archetype Guide'!W7</f>
        <v>2</v>
      </c>
      <c r="D8" s="64">
        <f>'Epitome Archetype Guide'!AB7</f>
        <v>4</v>
      </c>
      <c r="E8" s="64">
        <f>'Epitome Archetype Guide'!AF7</f>
        <v>4</v>
      </c>
      <c r="F8" s="64">
        <f>'Epitome Archetype Guide'!AI7</f>
        <v>2</v>
      </c>
      <c r="G8" s="64">
        <f>'Epitome Archetype Guide'!AN7</f>
        <v>4</v>
      </c>
      <c r="H8" s="64">
        <f>'Epitome Archetype Guide'!AQ7</f>
        <v>3</v>
      </c>
      <c r="I8" s="64">
        <f>'Epitome Archetype Guide'!AU7</f>
        <v>3</v>
      </c>
      <c r="J8" s="64">
        <f>'Epitome Archetype Guide'!AW7</f>
        <v>4</v>
      </c>
      <c r="K8" s="64">
        <f>'Epitome Archetype Guide'!BB7</f>
        <v>1</v>
      </c>
      <c r="L8" s="64">
        <f>'Epitome Archetype Guide'!BH7</f>
        <v>4</v>
      </c>
      <c r="M8" s="64">
        <f>'Epitome Archetype Guide'!BJ7</f>
        <v>3</v>
      </c>
      <c r="N8" s="88">
        <f t="shared" si="0"/>
        <v>30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3</v>
      </c>
      <c r="C13" s="64">
        <f t="shared" si="1"/>
        <v>2</v>
      </c>
      <c r="D13" s="64">
        <f t="shared" si="1"/>
        <v>3</v>
      </c>
      <c r="E13" s="64">
        <f t="shared" si="1"/>
        <v>3</v>
      </c>
      <c r="F13" s="64">
        <f t="shared" si="1"/>
        <v>2</v>
      </c>
      <c r="G13" s="64">
        <f t="shared" si="1"/>
        <v>4</v>
      </c>
      <c r="H13" s="64">
        <f t="shared" si="1"/>
        <v>3</v>
      </c>
      <c r="I13" s="64">
        <f t="shared" si="1"/>
        <v>4</v>
      </c>
      <c r="J13" s="64">
        <f t="shared" si="1"/>
        <v>3</v>
      </c>
      <c r="K13" s="64">
        <f t="shared" si="1"/>
        <v>3</v>
      </c>
      <c r="L13" s="64">
        <f t="shared" si="1"/>
        <v>4</v>
      </c>
      <c r="M13" s="64">
        <f t="shared" si="1"/>
        <v>1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1</v>
      </c>
      <c r="C14" s="64">
        <f t="shared" si="2"/>
        <v>4</v>
      </c>
      <c r="D14" s="64">
        <f t="shared" si="2"/>
        <v>2</v>
      </c>
      <c r="E14" s="64">
        <f t="shared" si="2"/>
        <v>4</v>
      </c>
      <c r="F14" s="64">
        <f t="shared" si="2"/>
        <v>1</v>
      </c>
      <c r="G14" s="64">
        <f t="shared" si="2"/>
        <v>2</v>
      </c>
      <c r="H14" s="64">
        <f t="shared" si="2"/>
        <v>1</v>
      </c>
      <c r="I14" s="64">
        <f t="shared" si="2"/>
        <v>1</v>
      </c>
      <c r="J14" s="64">
        <f t="shared" si="2"/>
        <v>2</v>
      </c>
      <c r="K14" s="64">
        <f t="shared" si="2"/>
        <v>2</v>
      </c>
      <c r="L14" s="64">
        <f t="shared" si="2"/>
        <v>2</v>
      </c>
      <c r="M14" s="64">
        <f t="shared" si="2"/>
        <v>4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4</v>
      </c>
      <c r="C15" s="64">
        <f t="shared" si="3"/>
        <v>1</v>
      </c>
      <c r="D15" s="64">
        <f t="shared" si="3"/>
        <v>4</v>
      </c>
      <c r="E15" s="64">
        <f t="shared" si="3"/>
        <v>2</v>
      </c>
      <c r="F15" s="64">
        <f t="shared" si="3"/>
        <v>4</v>
      </c>
      <c r="G15" s="64">
        <f t="shared" si="3"/>
        <v>3</v>
      </c>
      <c r="H15" s="64">
        <f t="shared" si="3"/>
        <v>4</v>
      </c>
      <c r="I15" s="64">
        <f t="shared" si="3"/>
        <v>3</v>
      </c>
      <c r="J15" s="64">
        <f t="shared" si="3"/>
        <v>4</v>
      </c>
      <c r="K15" s="64">
        <f t="shared" si="3"/>
        <v>1</v>
      </c>
      <c r="L15" s="64">
        <f t="shared" si="3"/>
        <v>3</v>
      </c>
      <c r="M15" s="64">
        <f t="shared" si="3"/>
        <v>3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2</v>
      </c>
      <c r="C16" s="64">
        <f t="shared" si="4"/>
        <v>3</v>
      </c>
      <c r="D16" s="64">
        <f t="shared" si="4"/>
        <v>1</v>
      </c>
      <c r="E16" s="64">
        <f t="shared" si="4"/>
        <v>1</v>
      </c>
      <c r="F16" s="64">
        <f t="shared" si="4"/>
        <v>3</v>
      </c>
      <c r="G16" s="64">
        <f t="shared" si="4"/>
        <v>1</v>
      </c>
      <c r="H16" s="64">
        <f t="shared" si="4"/>
        <v>2</v>
      </c>
      <c r="I16" s="64">
        <f t="shared" si="4"/>
        <v>2</v>
      </c>
      <c r="J16" s="64">
        <f t="shared" si="4"/>
        <v>1</v>
      </c>
      <c r="K16" s="64">
        <f t="shared" si="4"/>
        <v>4</v>
      </c>
      <c r="L16" s="64">
        <f t="shared" si="4"/>
        <v>1</v>
      </c>
      <c r="M16" s="64">
        <f t="shared" si="4"/>
        <v>2</v>
      </c>
      <c r="N16" s="79"/>
    </row>
    <row r="51" spans="2:3" ht="24" customHeight="1" x14ac:dyDescent="0.15">
      <c r="B51" s="98" t="str">
        <f>$B$4</f>
        <v>Leading</v>
      </c>
      <c r="C51" s="99" t="str">
        <f>IF(SUM($B$5:$B$8)&lt;&gt;0,IF($B$5=MIN($B$5:$B$8), $A$5, IF(SUM(B5:B8)&lt;&gt;0,IF(B6=MIN($B5:$B8), $A$6, IF(SUM(B5:B8)&lt;&gt;0,IF(B7=MIN($B5:$B8), A7, IF(SUM(B5:B8)&lt;&gt;0,IF(B8=MIN($B5:$B8), A8, ""))))))))</f>
        <v>Consort</v>
      </c>
    </row>
    <row r="52" spans="2:3" ht="24" customHeight="1" x14ac:dyDescent="0.15">
      <c r="B52" s="98" t="str">
        <f>$C$4</f>
        <v>Trust</v>
      </c>
      <c r="C52" s="99" t="str">
        <f>IF(SUM(C5:C8)&lt;&gt;0,IF(C5=MIN(C5:C8), $A5, IF(SUM(C5:C8)&lt;&gt;0,IF(C6=MIN(C5:C8), $A6, IF(SUM(C5:C8)&lt;&gt;0,IF(C7=MIN(C5:C8), $A7, IF(SUM(C5:C8)&lt;&gt;0,IF(C8=MIN(C5:C8), $A8, ""))))))))</f>
        <v>Empress</v>
      </c>
    </row>
    <row r="53" spans="2:3" ht="24" customHeight="1" x14ac:dyDescent="0.15">
      <c r="B53" s="98" t="str">
        <f>$D$4</f>
        <v>Constraints</v>
      </c>
      <c r="C53" s="99" t="str">
        <f>IF(SUM(D5:D8)&lt;&gt;0,IF(D5=MIN(D5:D8), $A5, IF(SUM(D5:D8)&lt;&gt;0,IF(D6=MIN(D5:D8), $A6, IF(SUM(D5:D8)&lt;&gt;0,IF(D7=MIN(D5:D8), $A7, IF(SUM(D5:D8)&lt;&gt;0,IF(D8=MIN(D5:D8), $A8, ""))))))))</f>
        <v>Consort</v>
      </c>
    </row>
    <row r="54" spans="2:3" ht="24" customHeight="1" x14ac:dyDescent="0.15">
      <c r="B54" s="98" t="str">
        <f>$E$4</f>
        <v>Inspiration</v>
      </c>
      <c r="C54" s="100" t="str">
        <f>IF(SUM(E5:E8)&lt;&gt;0,IF(E5=MIN(E5:E8), $A5, IF(SUM(E5:E8)&lt;&gt;0,IF(E6=MIN(E5:E8), $A6, IF(SUM(E5:E8)&lt;&gt;0,IF(E7=MIN(E5:E8), $A7, IF(SUM(E5:E8)&lt;&gt;0,IF(E8=MIN(E5:E8), $A8, ""))))))))</f>
        <v>Empress</v>
      </c>
    </row>
    <row r="55" spans="2:3" ht="24" customHeight="1" x14ac:dyDescent="0.15">
      <c r="B55" s="98" t="str">
        <f>$F$4</f>
        <v>Managing Challenges</v>
      </c>
      <c r="C55" s="100" t="str">
        <f>IF(SUM(F5:F8)&lt;&gt;0,IF(F5=MIN(F5:F8), $A5, IF(SUM(F5:F8)&lt;&gt;0,IF(F6=MIN(F5:F8), $A6, IF(SUM(F5:F8)&lt;&gt;0,IF(F7=MIN(F5:F8), $A7, IF(SUM(F5:F8)&lt;&gt;0,IF(F8=MIN(F5:F8), $A8, ""))))))))</f>
        <v>Consort</v>
      </c>
    </row>
    <row r="56" spans="2:3" ht="24" customHeight="1" x14ac:dyDescent="0.15">
      <c r="B56" s="98" t="str">
        <f>$G$4</f>
        <v>Others View Me</v>
      </c>
      <c r="C56" s="99" t="str">
        <f>IF(SUM(G5:G8)&lt;&gt;0,IF(G5=MIN(G5:G8), $A5, IF(SUM(G5:G8)&lt;&gt;0,IF(G6=MIN(G5:G8), $A6, IF(SUM(G5:G8)&lt;&gt;0,IF(G7=MIN(G5:G8), $A7, IF(SUM(G5:G8)&lt;&gt;0,IF(G8=MIN(G5:G8), $A8, ""))))))))</f>
        <v>Sovereign</v>
      </c>
    </row>
    <row r="57" spans="2:3" ht="24" customHeight="1" x14ac:dyDescent="0.15">
      <c r="B57" s="98" t="str">
        <f>$H$4</f>
        <v>Striving</v>
      </c>
      <c r="C57" s="100" t="str">
        <f>IF(SUM(H5:H8)&lt;&gt;0,IF(H5=MIN(H5:H8), $A5, IF(SUM(H5:H8)&lt;&gt;0,IF(H6=MIN(H5:H8), $A6, IF(SUM(H5:H8)&lt;&gt;0,IF(H7=MIN(H5:H8), $A7, IF(SUM(H5:H8)&lt;&gt;0,IF(H8=MIN(H5:H8), $A8, ""))))))))</f>
        <v>Consort</v>
      </c>
    </row>
    <row r="58" spans="2:3" ht="24" customHeight="1" x14ac:dyDescent="0.15">
      <c r="B58" s="98" t="str">
        <f>$I$4</f>
        <v>Working With Peers</v>
      </c>
      <c r="C58" s="100" t="str">
        <f>IF(SUM(I5:I8)&lt;&gt;0,IF(I5=MIN(I5:I8), $A5, IF(SUM(I5:I8)&lt;&gt;0,IF(I6=MIN(I5:I8), $A6, IF(SUM(I5:I8)&lt;&gt;0,IF(I7=MIN(I5:I8), $A7, IF(SUM(I5:I8)&lt;&gt;0,IF(I8=MIN(I5:I8), $A8, ""))))))))</f>
        <v>Sovereign</v>
      </c>
    </row>
    <row r="59" spans="2:3" ht="24" customHeight="1" x14ac:dyDescent="0.15">
      <c r="B59" s="98" t="str">
        <f>$J$4</f>
        <v>At Your Worst</v>
      </c>
      <c r="C59" s="99" t="str">
        <f>IF(SUM(J5:J8)&lt;&gt;0,IF(J5=MIN(J5:J8), $A5, IF(SUM(J5:J8)&lt;&gt;0,IF(J6=MIN(J5:J8), $A6, IF(SUM(J5:J8)&lt;&gt;0,IF(J7=MIN(J5:J8), $A7, IF(SUM(J5:J8)&lt;&gt;0,IF(J8=MIN(J5:J8), $A8, ""))))))))</f>
        <v>Consort</v>
      </c>
    </row>
    <row r="60" spans="2:3" ht="24" customHeight="1" x14ac:dyDescent="0.15">
      <c r="B60" s="98" t="str">
        <f>$K$4</f>
        <v>Confidence</v>
      </c>
      <c r="C60" s="100" t="str">
        <f>IF(SUM(K5:K8)&lt;&gt;0,IF(K5=MIN(K5:K8), $A5, IF(SUM(K5:K8)&lt;&gt;0,IF(K6=MIN(K5:K8), $A6, IF(SUM(K5:K8)&lt;&gt;0,IF(K7=MIN(K5:K8), $A7, IF(SUM(K5:K8)&lt;&gt;0,IF(K8=MIN(K5:K8), $A8, ""))))))))</f>
        <v>Seductress</v>
      </c>
    </row>
    <row r="61" spans="2:3" ht="24.75" customHeight="1" x14ac:dyDescent="0.15">
      <c r="B61" s="93" t="str">
        <f>$L$4</f>
        <v>Power</v>
      </c>
      <c r="C61" s="100" t="str">
        <f>IF(SUM(L5:L8)&lt;&gt;0,IF(L5=MIN(L5:L8), $A5, IF(SUM(L5:L8)&lt;&gt;0,IF(L6=MIN(L5:L8), $A6, IF(SUM(L5:L8)&lt;&gt;0,IF(L7=MIN(L5:L8), $A7, IF(SUM(L5:L8)&lt;&gt;0,IF(L8=MIN(L5:L8), $A8, ""))))))))</f>
        <v>Sovereign</v>
      </c>
    </row>
    <row r="62" spans="2:3" ht="24.75" customHeight="1" x14ac:dyDescent="0.15">
      <c r="B62" s="93" t="str">
        <f>$M$4</f>
        <v>Ambition</v>
      </c>
      <c r="C62" s="100" t="str">
        <f>IF(SUM(M5:M8)&lt;&gt;0,IF(M5=MIN(M5:M8), $A5, IF(SUM(M5:M8)&lt;&gt;0,IF(M6=MIN(M5:M8), $A6, IF(SUM(M5:M8)&lt;&gt;0,IF(M7=MIN(M5:M8), $A7, IF(SUM(M5:M8)&lt;&gt;0,IF(M8=MIN(M5:M8), $A8, ""))))))))</f>
        <v>Empress</v>
      </c>
    </row>
  </sheetData>
  <conditionalFormatting sqref="B2:E2">
    <cfRule type="containsText" dxfId="242" priority="3" operator="containsText" text="Empress">
      <formula>NOT(ISERROR(SEARCH(("Empress"),(B2))))</formula>
    </cfRule>
    <cfRule type="containsText" dxfId="241" priority="4" operator="containsText" text="Seductress">
      <formula>NOT(ISERROR(SEARCH(("Seductress"),(B2))))</formula>
    </cfRule>
    <cfRule type="containsText" dxfId="240" priority="5" operator="containsText" text="Consort">
      <formula>NOT(ISERROR(SEARCH(("Consort"),(B2))))</formula>
    </cfRule>
    <cfRule type="containsText" dxfId="239" priority="6" operator="containsText" text="Sovereign">
      <formula>NOT(ISERROR(SEARCH(("Sovereign"),(B2))))</formula>
    </cfRule>
  </conditionalFormatting>
  <conditionalFormatting sqref="B13:K17">
    <cfRule type="cellIs" dxfId="238" priority="2" operator="equal">
      <formula>4</formula>
    </cfRule>
  </conditionalFormatting>
  <conditionalFormatting sqref="C51:C62">
    <cfRule type="containsText" dxfId="237" priority="11" operator="containsText" text="Empress">
      <formula>NOT(ISERROR(SEARCH(("Empress"),(C51))))</formula>
    </cfRule>
    <cfRule type="containsText" dxfId="236" priority="12" operator="containsText" text="Consort">
      <formula>NOT(ISERROR(SEARCH(("Consort"),(C51))))</formula>
    </cfRule>
    <cfRule type="containsText" dxfId="235" priority="13" operator="containsText" text="Sovereign">
      <formula>NOT(ISERROR(SEARCH(("Sovereign"),(C51))))</formula>
    </cfRule>
    <cfRule type="containsText" dxfId="234" priority="14" operator="containsText" text="Seductress">
      <formula>NOT(ISERROR(SEARCH(("Seductress"),(C51))))</formula>
    </cfRule>
  </conditionalFormatting>
  <conditionalFormatting sqref="L5:M8 B5:K9 L13:M16">
    <cfRule type="cellIs" dxfId="233" priority="1" operator="equal">
      <formula>1</formula>
    </cfRule>
  </conditionalFormatting>
  <conditionalFormatting sqref="N5">
    <cfRule type="expression" dxfId="232" priority="7">
      <formula>AND(N5 = MIN($N5:$N8))</formula>
    </cfRule>
  </conditionalFormatting>
  <conditionalFormatting sqref="N6">
    <cfRule type="expression" dxfId="231" priority="8">
      <formula>AND(N6 = MIN($N5:$N8))</formula>
    </cfRule>
  </conditionalFormatting>
  <conditionalFormatting sqref="N7">
    <cfRule type="expression" dxfId="230" priority="9">
      <formula>AND(N7 = MIN($N5:$N8))</formula>
    </cfRule>
  </conditionalFormatting>
  <conditionalFormatting sqref="N8">
    <cfRule type="expression" dxfId="229" priority="10">
      <formula>AND(N8 = MIN($N5:$N8))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9.66406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Guide'!M8</f>
        <v>0</v>
      </c>
      <c r="B1" s="77">
        <f>'Epitome Archetype Guide'!N8</f>
        <v>0</v>
      </c>
      <c r="C1" s="2" t="s">
        <v>241</v>
      </c>
      <c r="D1" s="78">
        <f>'Epitome Archetype Guide'!P8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Analysis!I8</f>
        <v>0</v>
      </c>
      <c r="C2" s="60" t="b">
        <f>Analysis!J8</f>
        <v>0</v>
      </c>
      <c r="D2" s="60" t="b">
        <f>Analysis!K8</f>
        <v>0</v>
      </c>
      <c r="E2" s="60" t="b">
        <f>Analysis!L8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Guide'!S8</f>
        <v>0</v>
      </c>
      <c r="C5" s="64">
        <f>'Epitome Archetype Guide'!U8</f>
        <v>0</v>
      </c>
      <c r="D5" s="64">
        <f>'Epitome Archetype Guide'!Y8</f>
        <v>0</v>
      </c>
      <c r="E5" s="64">
        <f>'Epitome Archetype Guide'!AD8</f>
        <v>0</v>
      </c>
      <c r="F5" s="64">
        <f>'Epitome Archetype Guide'!AJ8</f>
        <v>0</v>
      </c>
      <c r="G5" s="64">
        <f>'Epitome Archetype Guide'!AM8</f>
        <v>0</v>
      </c>
      <c r="H5" s="64">
        <f>'Epitome Archetype Guide'!AO8</f>
        <v>0</v>
      </c>
      <c r="I5" s="64">
        <f>'Epitome Archetype Guide'!AT8</f>
        <v>0</v>
      </c>
      <c r="J5" s="64">
        <f>'Epitome Archetype Guide'!AZ8</f>
        <v>0</v>
      </c>
      <c r="K5" s="64">
        <f>'Epitome Archetype Guide'!BC8</f>
        <v>0</v>
      </c>
      <c r="L5" s="64">
        <f>'Epitome Archetype Guide'!BF8</f>
        <v>0</v>
      </c>
      <c r="M5" s="64">
        <f>'Epitome Archetype Guide'!BL8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Guide'!R8</f>
        <v>0</v>
      </c>
      <c r="C6" s="64">
        <f>'Epitome Archetype Guide'!V8</f>
        <v>0</v>
      </c>
      <c r="D6" s="64">
        <f>'Epitome Archetype Guide'!AA8</f>
        <v>0</v>
      </c>
      <c r="E6" s="64">
        <f>'Epitome Archetype Guide'!AC8</f>
        <v>0</v>
      </c>
      <c r="F6" s="64">
        <f>'Epitome Archetype Guide'!AG8</f>
        <v>0</v>
      </c>
      <c r="G6" s="64">
        <f>'Epitome Archetype Guide'!AL8</f>
        <v>0</v>
      </c>
      <c r="H6" s="64">
        <f>'Epitome Archetype Guide'!AR8</f>
        <v>0</v>
      </c>
      <c r="I6" s="64">
        <f>'Epitome Archetype Guide'!AS8</f>
        <v>0</v>
      </c>
      <c r="J6" s="64">
        <f>'Epitome Archetype Guide'!AX8</f>
        <v>0</v>
      </c>
      <c r="K6" s="64">
        <f>'Epitome Archetype Guide'!BA8</f>
        <v>0</v>
      </c>
      <c r="L6" s="64">
        <f>'Epitome Archetype Guide'!BE8</f>
        <v>0</v>
      </c>
      <c r="M6" s="64">
        <f>'Epitome Archetype Guide'!BK8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Guide'!T8</f>
        <v>0</v>
      </c>
      <c r="C7" s="64">
        <f>'Epitome Archetype Guide'!X8</f>
        <v>0</v>
      </c>
      <c r="D7" s="64">
        <f>'Epitome Archetype Guide'!Z8</f>
        <v>0</v>
      </c>
      <c r="E7" s="64">
        <f>'Epitome Archetype Guide'!AE8</f>
        <v>0</v>
      </c>
      <c r="F7" s="64">
        <f>'Epitome Archetype Guide'!AH8</f>
        <v>0</v>
      </c>
      <c r="G7" s="64">
        <f>'Epitome Archetype Guide'!AK8</f>
        <v>0</v>
      </c>
      <c r="H7" s="64">
        <f>'Epitome Archetype Guide'!AP8</f>
        <v>0</v>
      </c>
      <c r="I7" s="64">
        <f>'Epitome Archetype Guide'!AV8</f>
        <v>0</v>
      </c>
      <c r="J7" s="64">
        <f>'Epitome Archetype Guide'!AY8</f>
        <v>0</v>
      </c>
      <c r="K7" s="64">
        <f>'Epitome Archetype Guide'!BD8</f>
        <v>0</v>
      </c>
      <c r="L7" s="64">
        <f>'Epitome Archetype Guide'!BG8</f>
        <v>0</v>
      </c>
      <c r="M7" s="64">
        <f>'Epitome Archetype Guide'!BI8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Guide'!Q8</f>
        <v>0</v>
      </c>
      <c r="C8" s="64">
        <f>'Epitome Archetype Guide'!W8</f>
        <v>0</v>
      </c>
      <c r="D8" s="64">
        <f>'Epitome Archetype Guide'!AB8</f>
        <v>0</v>
      </c>
      <c r="E8" s="64">
        <f>'Epitome Archetype Guide'!AF8</f>
        <v>0</v>
      </c>
      <c r="F8" s="64">
        <f>'Epitome Archetype Guide'!AI8</f>
        <v>0</v>
      </c>
      <c r="G8" s="64">
        <f>'Epitome Archetype Guide'!AN8</f>
        <v>0</v>
      </c>
      <c r="H8" s="64">
        <f>'Epitome Archetype Guide'!AQ8</f>
        <v>0</v>
      </c>
      <c r="I8" s="64">
        <f>'Epitome Archetype Guide'!AU8</f>
        <v>0</v>
      </c>
      <c r="J8" s="64">
        <f>'Epitome Archetype Guide'!AW8</f>
        <v>0</v>
      </c>
      <c r="K8" s="64">
        <f>'Epitome Archetype Guide'!BB8</f>
        <v>0</v>
      </c>
      <c r="L8" s="64">
        <f>'Epitome Archetype Guide'!BH8</f>
        <v>0</v>
      </c>
      <c r="M8" s="64">
        <f>'Epitome Archetype Guide'!BJ8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4.75" customHeight="1" x14ac:dyDescent="0.15">
      <c r="B51" s="98" t="str">
        <f>$B$4</f>
        <v>Leading</v>
      </c>
      <c r="C51" s="99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4.75" customHeight="1" x14ac:dyDescent="0.15">
      <c r="B52" s="98" t="str">
        <f>$C$4</f>
        <v>Trust</v>
      </c>
      <c r="C52" s="99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4.7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4.7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4.7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4.75" customHeight="1" x14ac:dyDescent="0.15">
      <c r="B56" s="98" t="str">
        <f>$G$4</f>
        <v>Others View Me</v>
      </c>
      <c r="C56" s="99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4.75" customHeight="1" x14ac:dyDescent="0.15">
      <c r="B57" s="98" t="str">
        <f>$H$4</f>
        <v>Striving</v>
      </c>
      <c r="C57" s="100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4.7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4.75" customHeight="1" x14ac:dyDescent="0.15">
      <c r="B59" s="98" t="str">
        <f>$J$4</f>
        <v>At Your Worst</v>
      </c>
      <c r="C59" s="99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4.75" customHeight="1" x14ac:dyDescent="0.15">
      <c r="B60" s="98" t="str">
        <f>$K$4</f>
        <v>Confidence</v>
      </c>
      <c r="C60" s="100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1" customHeight="1" x14ac:dyDescent="0.15">
      <c r="B61" s="93" t="str">
        <f>$L$4</f>
        <v>Power</v>
      </c>
      <c r="C61" s="100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4" customHeight="1" x14ac:dyDescent="0.15">
      <c r="B62" s="93" t="str">
        <f>$M$4</f>
        <v>Ambition</v>
      </c>
      <c r="C62" s="100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228" priority="7" operator="containsText" text="Empress">
      <formula>NOT(ISERROR(SEARCH(("Empress"),(B2))))</formula>
    </cfRule>
    <cfRule type="containsText" dxfId="227" priority="8" operator="containsText" text="Seductress">
      <formula>NOT(ISERROR(SEARCH(("Seductress"),(B2))))</formula>
    </cfRule>
    <cfRule type="containsText" dxfId="226" priority="9" operator="containsText" text="Consort">
      <formula>NOT(ISERROR(SEARCH(("Consort"),(B2))))</formula>
    </cfRule>
    <cfRule type="containsText" dxfId="225" priority="10" operator="containsText" text="Sovereign">
      <formula>NOT(ISERROR(SEARCH(("Sovereign"),(B2))))</formula>
    </cfRule>
  </conditionalFormatting>
  <conditionalFormatting sqref="B13:K17">
    <cfRule type="cellIs" dxfId="224" priority="6" operator="equal">
      <formula>4</formula>
    </cfRule>
  </conditionalFormatting>
  <conditionalFormatting sqref="C51:C62">
    <cfRule type="containsText" dxfId="223" priority="1" operator="containsText" text="Empress">
      <formula>NOT(ISERROR(SEARCH(("Empress"),(C51))))</formula>
    </cfRule>
    <cfRule type="containsText" dxfId="222" priority="2" operator="containsText" text="Consort">
      <formula>NOT(ISERROR(SEARCH(("Consort"),(C51))))</formula>
    </cfRule>
    <cfRule type="containsText" dxfId="221" priority="3" operator="containsText" text="Sovereign">
      <formula>NOT(ISERROR(SEARCH(("Sovereign"),(C51))))</formula>
    </cfRule>
    <cfRule type="containsText" dxfId="220" priority="4" operator="containsText" text="Seductress">
      <formula>NOT(ISERROR(SEARCH(("Seductress"),(C51))))</formula>
    </cfRule>
  </conditionalFormatting>
  <conditionalFormatting sqref="L5:M8 B5:K9 L13:M16">
    <cfRule type="cellIs" dxfId="219" priority="5" operator="equal">
      <formula>1</formula>
    </cfRule>
  </conditionalFormatting>
  <conditionalFormatting sqref="N5">
    <cfRule type="expression" dxfId="218" priority="11">
      <formula>AND(N5 = MIN($N5:$N8))</formula>
    </cfRule>
  </conditionalFormatting>
  <conditionalFormatting sqref="N6">
    <cfRule type="expression" dxfId="217" priority="12">
      <formula>AND(N6 = MIN($N5:$N8))</formula>
    </cfRule>
  </conditionalFormatting>
  <conditionalFormatting sqref="N7">
    <cfRule type="expression" dxfId="216" priority="13">
      <formula>AND(N7 = MIN($N5:$N8))</formula>
    </cfRule>
  </conditionalFormatting>
  <conditionalFormatting sqref="N8">
    <cfRule type="expression" dxfId="215" priority="14">
      <formula>AND(N8 = MIN($N5:$N8))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9.66406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101">
        <f>'Epitome Archetype Guide'!M9</f>
        <v>0</v>
      </c>
      <c r="B1" s="77">
        <f>'Epitome Archetype Guide'!N9</f>
        <v>0</v>
      </c>
      <c r="C1" s="2" t="s">
        <v>241</v>
      </c>
      <c r="D1" s="78">
        <f>'Epitome Archetype Guide'!P9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Analysis!I9</f>
        <v>0</v>
      </c>
      <c r="C2" s="60" t="b">
        <f>Analysis!J9</f>
        <v>0</v>
      </c>
      <c r="D2" s="60" t="b">
        <f>Analysis!K9</f>
        <v>0</v>
      </c>
      <c r="E2" s="60" t="b">
        <f>Analysis!L9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Guide'!S9</f>
        <v>0</v>
      </c>
      <c r="C5" s="64">
        <f>'Epitome Archetype Guide'!U9</f>
        <v>0</v>
      </c>
      <c r="D5" s="64">
        <f>'Epitome Archetype Guide'!Y9</f>
        <v>0</v>
      </c>
      <c r="E5" s="64">
        <f>'Epitome Archetype Guide'!AD9</f>
        <v>0</v>
      </c>
      <c r="F5" s="64">
        <f>'Epitome Archetype Guide'!AJ9</f>
        <v>0</v>
      </c>
      <c r="G5" s="64">
        <f>'Epitome Archetype Guide'!AM9</f>
        <v>0</v>
      </c>
      <c r="H5" s="64">
        <f>'Epitome Archetype Guide'!AO9</f>
        <v>0</v>
      </c>
      <c r="I5" s="64">
        <f>'Epitome Archetype Guide'!AT9</f>
        <v>0</v>
      </c>
      <c r="J5" s="64">
        <f>'Epitome Archetype Guide'!AZ9</f>
        <v>0</v>
      </c>
      <c r="K5" s="64">
        <f>'Epitome Archetype Guide'!BC9</f>
        <v>0</v>
      </c>
      <c r="L5" s="64">
        <f>'Epitome Archetype Guide'!BF9</f>
        <v>0</v>
      </c>
      <c r="M5" s="64">
        <f>'Epitome Archetype Guide'!BL9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Guide'!R9</f>
        <v>0</v>
      </c>
      <c r="C6" s="64">
        <f>'Epitome Archetype Guide'!V9</f>
        <v>0</v>
      </c>
      <c r="D6" s="64">
        <f>'Epitome Archetype Guide'!AA9</f>
        <v>0</v>
      </c>
      <c r="E6" s="64">
        <f>'Epitome Archetype Guide'!AC9</f>
        <v>0</v>
      </c>
      <c r="F6" s="64">
        <f>'Epitome Archetype Guide'!AG9</f>
        <v>0</v>
      </c>
      <c r="G6" s="64">
        <f>'Epitome Archetype Guide'!AL9</f>
        <v>0</v>
      </c>
      <c r="H6" s="64">
        <f>'Epitome Archetype Guide'!AR9</f>
        <v>0</v>
      </c>
      <c r="I6" s="64">
        <f>'Epitome Archetype Guide'!AS9</f>
        <v>0</v>
      </c>
      <c r="J6" s="64">
        <f>'Epitome Archetype Guide'!AX9</f>
        <v>0</v>
      </c>
      <c r="K6" s="64">
        <f>'Epitome Archetype Guide'!BA9</f>
        <v>0</v>
      </c>
      <c r="L6" s="64">
        <f>'Epitome Archetype Guide'!BE9</f>
        <v>0</v>
      </c>
      <c r="M6" s="64">
        <f>'Epitome Archetype Guide'!BK9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Guide'!T9</f>
        <v>0</v>
      </c>
      <c r="C7" s="64">
        <f>'Epitome Archetype Guide'!X9</f>
        <v>0</v>
      </c>
      <c r="D7" s="64">
        <f>'Epitome Archetype Guide'!Z9</f>
        <v>0</v>
      </c>
      <c r="E7" s="64">
        <f>'Epitome Archetype Guide'!AE9</f>
        <v>0</v>
      </c>
      <c r="F7" s="64">
        <f>'Epitome Archetype Guide'!AH9</f>
        <v>0</v>
      </c>
      <c r="G7" s="64">
        <f>'Epitome Archetype Guide'!AK9</f>
        <v>0</v>
      </c>
      <c r="H7" s="64">
        <f>'Epitome Archetype Guide'!AP9</f>
        <v>0</v>
      </c>
      <c r="I7" s="64">
        <f>'Epitome Archetype Guide'!AV9</f>
        <v>0</v>
      </c>
      <c r="J7" s="64">
        <f>'Epitome Archetype Guide'!AY9</f>
        <v>0</v>
      </c>
      <c r="K7" s="64">
        <f>'Epitome Archetype Guide'!BD9</f>
        <v>0</v>
      </c>
      <c r="L7" s="64">
        <f>'Epitome Archetype Guide'!BG9</f>
        <v>0</v>
      </c>
      <c r="M7" s="64">
        <f>'Epitome Archetype Guide'!BI9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Guide'!Q9</f>
        <v>0</v>
      </c>
      <c r="C8" s="64">
        <f>'Epitome Archetype Guide'!W9</f>
        <v>0</v>
      </c>
      <c r="D8" s="64">
        <f>'Epitome Archetype Guide'!AB9</f>
        <v>0</v>
      </c>
      <c r="E8" s="64">
        <f>'Epitome Archetype Guide'!AF9</f>
        <v>0</v>
      </c>
      <c r="F8" s="64">
        <f>'Epitome Archetype Guide'!AI9</f>
        <v>0</v>
      </c>
      <c r="G8" s="64">
        <f>'Epitome Archetype Guide'!AN9</f>
        <v>0</v>
      </c>
      <c r="H8" s="64">
        <f>'Epitome Archetype Guide'!AQ9</f>
        <v>0</v>
      </c>
      <c r="I8" s="64">
        <f>'Epitome Archetype Guide'!AU9</f>
        <v>0</v>
      </c>
      <c r="J8" s="64">
        <f>'Epitome Archetype Guide'!AW9</f>
        <v>0</v>
      </c>
      <c r="K8" s="64">
        <f>'Epitome Archetype Guide'!BB9</f>
        <v>0</v>
      </c>
      <c r="L8" s="64">
        <f>'Epitome Archetype Guide'!BH9</f>
        <v>0</v>
      </c>
      <c r="M8" s="64">
        <f>'Epitome Archetype Guide'!BJ9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3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3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3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3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3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3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3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3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3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3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4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7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214" priority="4" operator="containsText" text="Empress">
      <formula>NOT(ISERROR(SEARCH(("Empress"),(B2))))</formula>
    </cfRule>
    <cfRule type="containsText" dxfId="213" priority="5" operator="containsText" text="Seductress">
      <formula>NOT(ISERROR(SEARCH(("Seductress"),(B2))))</formula>
    </cfRule>
    <cfRule type="containsText" dxfId="212" priority="6" operator="containsText" text="Consort">
      <formula>NOT(ISERROR(SEARCH(("Consort"),(B2))))</formula>
    </cfRule>
    <cfRule type="containsText" dxfId="211" priority="7" operator="containsText" text="Sovereign">
      <formula>NOT(ISERROR(SEARCH(("Sovereign"),(B2))))</formula>
    </cfRule>
  </conditionalFormatting>
  <conditionalFormatting sqref="C51:C62">
    <cfRule type="containsText" dxfId="210" priority="12" operator="containsText" text="Seductress">
      <formula>NOT(ISERROR(SEARCH(("Seductress"),(C51))))</formula>
    </cfRule>
    <cfRule type="containsText" dxfId="209" priority="13" operator="containsText" text="Consort">
      <formula>NOT(ISERROR(SEARCH(("Consort"),(C51))))</formula>
    </cfRule>
    <cfRule type="containsText" dxfId="208" priority="14" operator="containsText" text="Sovereign">
      <formula>NOT(ISERROR(SEARCH(("Sovereign"),(C51))))</formula>
    </cfRule>
    <cfRule type="containsText" dxfId="207" priority="15" operator="containsText" text="Empress">
      <formula>NOT(ISERROR(SEARCH(("Empress"),(C51))))</formula>
    </cfRule>
  </conditionalFormatting>
  <conditionalFormatting sqref="C61:C62">
    <cfRule type="containsText" dxfId="206" priority="1" operator="containsText" text="Seductress">
      <formula>NOT(ISERROR(SEARCH(("Seductress"),(C61))))</formula>
    </cfRule>
  </conditionalFormatting>
  <conditionalFormatting sqref="L5:M8 B5:K9">
    <cfRule type="cellIs" dxfId="205" priority="2" operator="equal">
      <formula>1</formula>
    </cfRule>
  </conditionalFormatting>
  <conditionalFormatting sqref="L13:M16 B13:K17">
    <cfRule type="cellIs" dxfId="204" priority="3" operator="equal">
      <formula>4</formula>
    </cfRule>
  </conditionalFormatting>
  <conditionalFormatting sqref="N5">
    <cfRule type="expression" dxfId="203" priority="8">
      <formula>AND(N5 = MIN($N5:$N8))</formula>
    </cfRule>
  </conditionalFormatting>
  <conditionalFormatting sqref="N6">
    <cfRule type="expression" dxfId="202" priority="9">
      <formula>AND(N6 = MIN($N5:$N8))</formula>
    </cfRule>
  </conditionalFormatting>
  <conditionalFormatting sqref="N7">
    <cfRule type="expression" dxfId="201" priority="10">
      <formula>AND(N7 = MIN($N5:$N8))</formula>
    </cfRule>
  </conditionalFormatting>
  <conditionalFormatting sqref="N8">
    <cfRule type="expression" dxfId="200" priority="11">
      <formula>AND(N8 = MIN($N5:$N8))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8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Guide'!M10</f>
        <v>0</v>
      </c>
      <c r="B1" s="77">
        <f>'Epitome Archetype Guide'!N10</f>
        <v>0</v>
      </c>
      <c r="C1" s="2" t="s">
        <v>241</v>
      </c>
      <c r="D1" s="78">
        <f>'Epitome Archetype Guide'!P10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Analysis!I10</f>
        <v>0</v>
      </c>
      <c r="C2" s="60" t="b">
        <f>Analysis!J10</f>
        <v>0</v>
      </c>
      <c r="D2" s="60" t="b">
        <f>Analysis!K10</f>
        <v>0</v>
      </c>
      <c r="E2" s="60" t="b">
        <f>Analysis!L10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Guide'!S10</f>
        <v>0</v>
      </c>
      <c r="C5" s="64">
        <f>'Epitome Archetype Guide'!U10</f>
        <v>0</v>
      </c>
      <c r="D5" s="64">
        <f>'Epitome Archetype Guide'!Y10</f>
        <v>0</v>
      </c>
      <c r="E5" s="64">
        <f>'Epitome Archetype Guide'!AD10</f>
        <v>0</v>
      </c>
      <c r="F5" s="64">
        <f>'Epitome Archetype Guide'!AJ10</f>
        <v>0</v>
      </c>
      <c r="G5" s="64">
        <f>'Epitome Archetype Guide'!AM10</f>
        <v>0</v>
      </c>
      <c r="H5" s="64">
        <f>'Epitome Archetype Guide'!AO10</f>
        <v>0</v>
      </c>
      <c r="I5" s="64">
        <f>'Epitome Archetype Guide'!AT10</f>
        <v>0</v>
      </c>
      <c r="J5" s="64">
        <f>'Epitome Archetype Guide'!AZ10</f>
        <v>0</v>
      </c>
      <c r="K5" s="64">
        <f>'Epitome Archetype Guide'!BC10</f>
        <v>0</v>
      </c>
      <c r="L5" s="64">
        <f>'Epitome Archetype Guide'!BF10</f>
        <v>0</v>
      </c>
      <c r="M5" s="64">
        <f>'Epitome Archetype Guide'!BL10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Guide'!R10</f>
        <v>0</v>
      </c>
      <c r="C6" s="64">
        <f>'Epitome Archetype Guide'!V10</f>
        <v>0</v>
      </c>
      <c r="D6" s="64">
        <f>'Epitome Archetype Guide'!AA10</f>
        <v>0</v>
      </c>
      <c r="E6" s="64">
        <f>'Epitome Archetype Guide'!AC10</f>
        <v>0</v>
      </c>
      <c r="F6" s="64">
        <f>'Epitome Archetype Guide'!AG10</f>
        <v>0</v>
      </c>
      <c r="G6" s="64">
        <f>'Epitome Archetype Guide'!AL10</f>
        <v>0</v>
      </c>
      <c r="H6" s="64">
        <f>'Epitome Archetype Guide'!AR10</f>
        <v>0</v>
      </c>
      <c r="I6" s="64">
        <f>'Epitome Archetype Guide'!AS10</f>
        <v>0</v>
      </c>
      <c r="J6" s="64">
        <f>'Epitome Archetype Guide'!AX10</f>
        <v>0</v>
      </c>
      <c r="K6" s="64">
        <f>'Epitome Archetype Guide'!BA10</f>
        <v>0</v>
      </c>
      <c r="L6" s="64">
        <f>'Epitome Archetype Guide'!BE10</f>
        <v>0</v>
      </c>
      <c r="M6" s="64">
        <f>'Epitome Archetype Guide'!BK10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Guide'!T10</f>
        <v>0</v>
      </c>
      <c r="C7" s="64">
        <f>'Epitome Archetype Guide'!X10</f>
        <v>0</v>
      </c>
      <c r="D7" s="64">
        <f>'Epitome Archetype Guide'!Z10</f>
        <v>0</v>
      </c>
      <c r="E7" s="64">
        <f>'Epitome Archetype Guide'!AE10</f>
        <v>0</v>
      </c>
      <c r="F7" s="64">
        <f>'Epitome Archetype Guide'!AH10</f>
        <v>0</v>
      </c>
      <c r="G7" s="64">
        <f>'Epitome Archetype Guide'!AK10</f>
        <v>0</v>
      </c>
      <c r="H7" s="64">
        <f>'Epitome Archetype Guide'!AP10</f>
        <v>0</v>
      </c>
      <c r="I7" s="64">
        <f>'Epitome Archetype Guide'!AV10</f>
        <v>0</v>
      </c>
      <c r="J7" s="64">
        <f>'Epitome Archetype Guide'!AY10</f>
        <v>0</v>
      </c>
      <c r="K7" s="64">
        <f>'Epitome Archetype Guide'!BD10</f>
        <v>0</v>
      </c>
      <c r="L7" s="64">
        <f>'Epitome Archetype Guide'!BG10</f>
        <v>0</v>
      </c>
      <c r="M7" s="64">
        <f>'Epitome Archetype Guide'!BI10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Guide'!Q10</f>
        <v>0</v>
      </c>
      <c r="C8" s="64">
        <f>'Epitome Archetype Guide'!W10</f>
        <v>0</v>
      </c>
      <c r="D8" s="64">
        <f>'Epitome Archetype Guide'!AB10</f>
        <v>0</v>
      </c>
      <c r="E8" s="64">
        <f>'Epitome Archetype Guide'!AF10</f>
        <v>0</v>
      </c>
      <c r="F8" s="64">
        <f>'Epitome Archetype Guide'!AI10</f>
        <v>0</v>
      </c>
      <c r="G8" s="64">
        <f>'Epitome Archetype Guide'!AN10</f>
        <v>0</v>
      </c>
      <c r="H8" s="64">
        <f>'Epitome Archetype Guide'!AQ10</f>
        <v>0</v>
      </c>
      <c r="I8" s="64">
        <f>'Epitome Archetype Guide'!AU10</f>
        <v>0</v>
      </c>
      <c r="J8" s="64">
        <f>'Epitome Archetype Guide'!AW10</f>
        <v>0</v>
      </c>
      <c r="K8" s="64">
        <f>'Epitome Archetype Guide'!BB10</f>
        <v>0</v>
      </c>
      <c r="L8" s="64">
        <f>'Epitome Archetype Guide'!BH10</f>
        <v>0</v>
      </c>
      <c r="M8" s="64">
        <f>'Epitome Archetype Guide'!BJ10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5.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5.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5.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5.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5.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5.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5.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5.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5.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5.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7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5.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99" priority="8" operator="containsText" text="Empress">
      <formula>NOT(ISERROR(SEARCH(("Empress"),(B2))))</formula>
    </cfRule>
    <cfRule type="containsText" dxfId="198" priority="9" operator="containsText" text="Seductress">
      <formula>NOT(ISERROR(SEARCH(("Seductress"),(B2))))</formula>
    </cfRule>
    <cfRule type="containsText" dxfId="197" priority="10" operator="containsText" text="Consort">
      <formula>NOT(ISERROR(SEARCH(("Consort"),(B2))))</formula>
    </cfRule>
    <cfRule type="containsText" dxfId="196" priority="11" operator="containsText" text="Sovereign">
      <formula>NOT(ISERROR(SEARCH(("Sovereign"),(B2))))</formula>
    </cfRule>
  </conditionalFormatting>
  <conditionalFormatting sqref="B13:K17">
    <cfRule type="cellIs" dxfId="195" priority="7" operator="equal">
      <formula>4</formula>
    </cfRule>
  </conditionalFormatting>
  <conditionalFormatting sqref="C51:C62">
    <cfRule type="containsText" dxfId="194" priority="2" operator="containsText" text="Seductress">
      <formula>NOT(ISERROR(SEARCH(("Seductress"),(C51))))</formula>
    </cfRule>
    <cfRule type="containsText" dxfId="193" priority="3" operator="containsText" text="Consort">
      <formula>NOT(ISERROR(SEARCH(("Consort"),(C51))))</formula>
    </cfRule>
    <cfRule type="containsText" dxfId="192" priority="4" operator="containsText" text="Sovereign">
      <formula>NOT(ISERROR(SEARCH(("Sovereign"),(C51))))</formula>
    </cfRule>
    <cfRule type="containsText" dxfId="191" priority="5" operator="containsText" text="Empress">
      <formula>NOT(ISERROR(SEARCH(("Empress"),(C51))))</formula>
    </cfRule>
  </conditionalFormatting>
  <conditionalFormatting sqref="C61:C62">
    <cfRule type="containsText" dxfId="190" priority="1" operator="containsText" text="Seductress">
      <formula>NOT(ISERROR(SEARCH(("Seductress"),(C61))))</formula>
    </cfRule>
  </conditionalFormatting>
  <conditionalFormatting sqref="L5:M8 B5:K9 L13:M16">
    <cfRule type="cellIs" dxfId="189" priority="6" operator="equal">
      <formula>1</formula>
    </cfRule>
  </conditionalFormatting>
  <conditionalFormatting sqref="N5">
    <cfRule type="expression" dxfId="188" priority="12">
      <formula>AND(N5 = MIN($N5:$N8))</formula>
    </cfRule>
  </conditionalFormatting>
  <conditionalFormatting sqref="N6">
    <cfRule type="expression" dxfId="187" priority="13">
      <formula>AND(N6 = MIN($N5:$N8))</formula>
    </cfRule>
  </conditionalFormatting>
  <conditionalFormatting sqref="N7">
    <cfRule type="expression" dxfId="186" priority="14">
      <formula>AND(N7 = MIN($N5:$N8))</formula>
    </cfRule>
  </conditionalFormatting>
  <conditionalFormatting sqref="N8">
    <cfRule type="expression" dxfId="185" priority="15">
      <formula>AND(N8 = MIN($N5:$N8))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9.66406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Guide'!M11</f>
        <v>0</v>
      </c>
      <c r="B1" s="77">
        <f>'Epitome Archetype Guide'!N11</f>
        <v>0</v>
      </c>
      <c r="C1" s="2" t="s">
        <v>241</v>
      </c>
      <c r="D1" s="78">
        <f>'Epitome Archetype Guide'!P11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Analysis!I11</f>
        <v>0</v>
      </c>
      <c r="C2" s="60" t="b">
        <f>Analysis!J11</f>
        <v>0</v>
      </c>
      <c r="D2" s="60" t="b">
        <f>Analysis!K11</f>
        <v>0</v>
      </c>
      <c r="E2" s="60" t="b">
        <f>Analysis!L11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Guide'!S11</f>
        <v>0</v>
      </c>
      <c r="C5" s="64">
        <f>'Epitome Archetype Guide'!U11</f>
        <v>0</v>
      </c>
      <c r="D5" s="64">
        <f>'Epitome Archetype Guide'!Y11</f>
        <v>0</v>
      </c>
      <c r="E5" s="64">
        <f>'Epitome Archetype Guide'!AD11</f>
        <v>0</v>
      </c>
      <c r="F5" s="64">
        <f>'Epitome Archetype Guide'!AJ11</f>
        <v>0</v>
      </c>
      <c r="G5" s="64">
        <f>'Epitome Archetype Guide'!AM11</f>
        <v>0</v>
      </c>
      <c r="H5" s="64">
        <f>'Epitome Archetype Guide'!AO11</f>
        <v>0</v>
      </c>
      <c r="I5" s="64">
        <f>'Epitome Archetype Guide'!AT11</f>
        <v>0</v>
      </c>
      <c r="J5" s="64">
        <f>'Epitome Archetype Guide'!AZ11</f>
        <v>0</v>
      </c>
      <c r="K5" s="64">
        <f>'Epitome Archetype Guide'!BC11</f>
        <v>0</v>
      </c>
      <c r="L5" s="64">
        <f>'Epitome Archetype Guide'!BF11</f>
        <v>0</v>
      </c>
      <c r="M5" s="64">
        <f>'Epitome Archetype Guide'!BL11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Guide'!R11</f>
        <v>0</v>
      </c>
      <c r="C6" s="64">
        <f>'Epitome Archetype Guide'!V11</f>
        <v>0</v>
      </c>
      <c r="D6" s="64">
        <f>'Epitome Archetype Guide'!AA11</f>
        <v>0</v>
      </c>
      <c r="E6" s="64">
        <f>'Epitome Archetype Guide'!AC11</f>
        <v>0</v>
      </c>
      <c r="F6" s="64">
        <f>'Epitome Archetype Guide'!AG11</f>
        <v>0</v>
      </c>
      <c r="G6" s="64">
        <f>'Epitome Archetype Guide'!AL11</f>
        <v>0</v>
      </c>
      <c r="H6" s="64">
        <f>'Epitome Archetype Guide'!AR11</f>
        <v>0</v>
      </c>
      <c r="I6" s="64">
        <f>'Epitome Archetype Guide'!AS11</f>
        <v>0</v>
      </c>
      <c r="J6" s="64">
        <f>'Epitome Archetype Guide'!AX11</f>
        <v>0</v>
      </c>
      <c r="K6" s="64">
        <f>'Epitome Archetype Guide'!BA11</f>
        <v>0</v>
      </c>
      <c r="L6" s="64">
        <f>'Epitome Archetype Guide'!BE11</f>
        <v>0</v>
      </c>
      <c r="M6" s="64">
        <f>'Epitome Archetype Guide'!BK11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Guide'!T11</f>
        <v>0</v>
      </c>
      <c r="C7" s="64">
        <f>'Epitome Archetype Guide'!X11</f>
        <v>0</v>
      </c>
      <c r="D7" s="64">
        <f>'Epitome Archetype Guide'!Z11</f>
        <v>0</v>
      </c>
      <c r="E7" s="64">
        <f>'Epitome Archetype Guide'!AE11</f>
        <v>0</v>
      </c>
      <c r="F7" s="64">
        <f>'Epitome Archetype Guide'!AH11</f>
        <v>0</v>
      </c>
      <c r="G7" s="64">
        <f>'Epitome Archetype Guide'!AK11</f>
        <v>0</v>
      </c>
      <c r="H7" s="64">
        <f>'Epitome Archetype Guide'!AP11</f>
        <v>0</v>
      </c>
      <c r="I7" s="64">
        <f>'Epitome Archetype Guide'!AV11</f>
        <v>0</v>
      </c>
      <c r="J7" s="64">
        <f>'Epitome Archetype Guide'!AY11</f>
        <v>0</v>
      </c>
      <c r="K7" s="64">
        <f>'Epitome Archetype Guide'!BD11</f>
        <v>0</v>
      </c>
      <c r="L7" s="64">
        <f>'Epitome Archetype Guide'!BG11</f>
        <v>0</v>
      </c>
      <c r="M7" s="64">
        <f>'Epitome Archetype Guide'!BI11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Guide'!Q11</f>
        <v>0</v>
      </c>
      <c r="C8" s="64">
        <f>'Epitome Archetype Guide'!W11</f>
        <v>0</v>
      </c>
      <c r="D8" s="64">
        <f>'Epitome Archetype Guide'!AB11</f>
        <v>0</v>
      </c>
      <c r="E8" s="64">
        <f>'Epitome Archetype Guide'!AF11</f>
        <v>0</v>
      </c>
      <c r="F8" s="64">
        <f>'Epitome Archetype Guide'!AI11</f>
        <v>0</v>
      </c>
      <c r="G8" s="64">
        <f>'Epitome Archetype Guide'!AN11</f>
        <v>0</v>
      </c>
      <c r="H8" s="64">
        <f>'Epitome Archetype Guide'!AQ11</f>
        <v>0</v>
      </c>
      <c r="I8" s="64">
        <f>'Epitome Archetype Guide'!AU11</f>
        <v>0</v>
      </c>
      <c r="J8" s="64">
        <f>'Epitome Archetype Guide'!AW11</f>
        <v>0</v>
      </c>
      <c r="K8" s="64">
        <f>'Epitome Archetype Guide'!BB11</f>
        <v>0</v>
      </c>
      <c r="L8" s="64">
        <f>'Epitome Archetype Guide'!BH11</f>
        <v>0</v>
      </c>
      <c r="M8" s="64">
        <f>'Epitome Archetype Guide'!BJ11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4.7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4.7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4.7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4.7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4.7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4.7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4.7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4.7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4.7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4.7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1.7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0.2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84" priority="8" operator="containsText" text="Empress">
      <formula>NOT(ISERROR(SEARCH(("Empress"),(B2))))</formula>
    </cfRule>
    <cfRule type="containsText" dxfId="183" priority="9" operator="containsText" text="Seductress">
      <formula>NOT(ISERROR(SEARCH(("Seductress"),(B2))))</formula>
    </cfRule>
    <cfRule type="containsText" dxfId="182" priority="10" operator="containsText" text="Consort">
      <formula>NOT(ISERROR(SEARCH(("Consort"),(B2))))</formula>
    </cfRule>
    <cfRule type="containsText" dxfId="181" priority="11" operator="containsText" text="Sovereign">
      <formula>NOT(ISERROR(SEARCH(("Sovereign"),(B2))))</formula>
    </cfRule>
  </conditionalFormatting>
  <conditionalFormatting sqref="B13:K17">
    <cfRule type="cellIs" dxfId="180" priority="7" operator="equal">
      <formula>4</formula>
    </cfRule>
  </conditionalFormatting>
  <conditionalFormatting sqref="C51:C62">
    <cfRule type="containsText" dxfId="179" priority="2" operator="containsText" text="Seductress">
      <formula>NOT(ISERROR(SEARCH(("Seductress"),(C51))))</formula>
    </cfRule>
    <cfRule type="containsText" dxfId="178" priority="3" operator="containsText" text="Consort">
      <formula>NOT(ISERROR(SEARCH(("Consort"),(C51))))</formula>
    </cfRule>
    <cfRule type="containsText" dxfId="177" priority="4" operator="containsText" text="Sovereign">
      <formula>NOT(ISERROR(SEARCH(("Sovereign"),(C51))))</formula>
    </cfRule>
    <cfRule type="containsText" dxfId="176" priority="5" operator="containsText" text="Empress">
      <formula>NOT(ISERROR(SEARCH(("Empress"),(C51))))</formula>
    </cfRule>
  </conditionalFormatting>
  <conditionalFormatting sqref="C61:C62">
    <cfRule type="containsText" dxfId="175" priority="1" operator="containsText" text="Seductress">
      <formula>NOT(ISERROR(SEARCH(("Seductress"),(C61))))</formula>
    </cfRule>
  </conditionalFormatting>
  <conditionalFormatting sqref="L5:M8 B5:K9 L13:M16">
    <cfRule type="cellIs" dxfId="174" priority="6" operator="equal">
      <formula>1</formula>
    </cfRule>
  </conditionalFormatting>
  <conditionalFormatting sqref="N5">
    <cfRule type="expression" dxfId="173" priority="12">
      <formula>AND(N5 = MIN($N5:$N8))</formula>
    </cfRule>
  </conditionalFormatting>
  <conditionalFormatting sqref="N6">
    <cfRule type="expression" dxfId="172" priority="13">
      <formula>AND(N6 = MIN($N5:$N8))</formula>
    </cfRule>
  </conditionalFormatting>
  <conditionalFormatting sqref="N7">
    <cfRule type="expression" dxfId="171" priority="14">
      <formula>AND(N7 = MIN($N5:$N8))</formula>
    </cfRule>
  </conditionalFormatting>
  <conditionalFormatting sqref="N8">
    <cfRule type="expression" dxfId="170" priority="15">
      <formula>AND(N8 = MIN($N5:$N8))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Guide'!M12</f>
        <v>0</v>
      </c>
      <c r="B1" s="77">
        <f>'Epitome Archetype Guide'!N12</f>
        <v>0</v>
      </c>
      <c r="C1" s="2" t="s">
        <v>241</v>
      </c>
      <c r="D1" s="78">
        <f>'Epitome Archetype Guide'!P12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Analysis!I12</f>
        <v>0</v>
      </c>
      <c r="C2" s="60" t="b">
        <f>Analysis!J12</f>
        <v>0</v>
      </c>
      <c r="D2" s="60" t="b">
        <f>Analysis!K12</f>
        <v>0</v>
      </c>
      <c r="E2" s="60" t="b">
        <f>Analysis!L12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Guide'!S12</f>
        <v>0</v>
      </c>
      <c r="C5" s="64">
        <f>'Epitome Archetype Guide'!U12</f>
        <v>0</v>
      </c>
      <c r="D5" s="64">
        <f>'Epitome Archetype Guide'!Y12</f>
        <v>0</v>
      </c>
      <c r="E5" s="64">
        <f>'Epitome Archetype Guide'!AD12</f>
        <v>0</v>
      </c>
      <c r="F5" s="64">
        <f>'Epitome Archetype Guide'!AJ12</f>
        <v>0</v>
      </c>
      <c r="G5" s="64">
        <f>'Epitome Archetype Guide'!AM12</f>
        <v>0</v>
      </c>
      <c r="H5" s="64">
        <f>'Epitome Archetype Guide'!AO12</f>
        <v>0</v>
      </c>
      <c r="I5" s="64">
        <f>'Epitome Archetype Guide'!AT12</f>
        <v>0</v>
      </c>
      <c r="J5" s="64">
        <f>'Epitome Archetype Guide'!AZ12</f>
        <v>0</v>
      </c>
      <c r="K5" s="64">
        <f>'Epitome Archetype Guide'!BC12</f>
        <v>0</v>
      </c>
      <c r="L5" s="64">
        <f>'Epitome Archetype Guide'!BF12</f>
        <v>0</v>
      </c>
      <c r="M5" s="64">
        <f>'Epitome Archetype Guide'!BL12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Guide'!R12</f>
        <v>0</v>
      </c>
      <c r="C6" s="64">
        <f>'Epitome Archetype Guide'!V12</f>
        <v>0</v>
      </c>
      <c r="D6" s="64">
        <f>'Epitome Archetype Guide'!AA12</f>
        <v>0</v>
      </c>
      <c r="E6" s="64">
        <f>'Epitome Archetype Guide'!AC12</f>
        <v>0</v>
      </c>
      <c r="F6" s="64">
        <f>'Epitome Archetype Guide'!AG12</f>
        <v>0</v>
      </c>
      <c r="G6" s="64">
        <f>'Epitome Archetype Guide'!AL12</f>
        <v>0</v>
      </c>
      <c r="H6" s="64">
        <f>'Epitome Archetype Guide'!AR12</f>
        <v>0</v>
      </c>
      <c r="I6" s="64">
        <f>'Epitome Archetype Guide'!AS12</f>
        <v>0</v>
      </c>
      <c r="J6" s="64">
        <f>'Epitome Archetype Guide'!AX12</f>
        <v>0</v>
      </c>
      <c r="K6" s="64">
        <f>'Epitome Archetype Guide'!BA12</f>
        <v>0</v>
      </c>
      <c r="L6" s="64">
        <f>'Epitome Archetype Guide'!BE12</f>
        <v>0</v>
      </c>
      <c r="M6" s="64">
        <f>'Epitome Archetype Guide'!BK12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Guide'!T12</f>
        <v>0</v>
      </c>
      <c r="C7" s="64">
        <f>'Epitome Archetype Guide'!X12</f>
        <v>0</v>
      </c>
      <c r="D7" s="64">
        <f>'Epitome Archetype Guide'!Z12</f>
        <v>0</v>
      </c>
      <c r="E7" s="64">
        <f>'Epitome Archetype Guide'!AE12</f>
        <v>0</v>
      </c>
      <c r="F7" s="64">
        <f>'Epitome Archetype Guide'!AH12</f>
        <v>0</v>
      </c>
      <c r="G7" s="64">
        <f>'Epitome Archetype Guide'!AK12</f>
        <v>0</v>
      </c>
      <c r="H7" s="64">
        <f>'Epitome Archetype Guide'!AP12</f>
        <v>0</v>
      </c>
      <c r="I7" s="64">
        <f>'Epitome Archetype Guide'!AV12</f>
        <v>0</v>
      </c>
      <c r="J7" s="64">
        <f>'Epitome Archetype Guide'!AY12</f>
        <v>0</v>
      </c>
      <c r="K7" s="64">
        <f>'Epitome Archetype Guide'!BD12</f>
        <v>0</v>
      </c>
      <c r="L7" s="64">
        <f>'Epitome Archetype Guide'!BG12</f>
        <v>0</v>
      </c>
      <c r="M7" s="64">
        <f>'Epitome Archetype Guide'!BI12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Guide'!Q12</f>
        <v>0</v>
      </c>
      <c r="C8" s="64">
        <f>'Epitome Archetype Guide'!W12</f>
        <v>0</v>
      </c>
      <c r="D8" s="64">
        <f>'Epitome Archetype Guide'!AB12</f>
        <v>0</v>
      </c>
      <c r="E8" s="64">
        <f>'Epitome Archetype Guide'!AF12</f>
        <v>0</v>
      </c>
      <c r="F8" s="64">
        <f>'Epitome Archetype Guide'!AI12</f>
        <v>0</v>
      </c>
      <c r="G8" s="64">
        <f>'Epitome Archetype Guide'!AN12</f>
        <v>0</v>
      </c>
      <c r="H8" s="64">
        <f>'Epitome Archetype Guide'!AQ12</f>
        <v>0</v>
      </c>
      <c r="I8" s="64">
        <f>'Epitome Archetype Guide'!AU12</f>
        <v>0</v>
      </c>
      <c r="J8" s="64">
        <f>'Epitome Archetype Guide'!AW12</f>
        <v>0</v>
      </c>
      <c r="K8" s="64">
        <f>'Epitome Archetype Guide'!BB12</f>
        <v>0</v>
      </c>
      <c r="L8" s="64">
        <f>'Epitome Archetype Guide'!BH12</f>
        <v>0</v>
      </c>
      <c r="M8" s="64">
        <f>'Epitome Archetype Guide'!BJ12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3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3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3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3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3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3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3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3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3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3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2.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3.2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69" priority="8" operator="containsText" text="Empress">
      <formula>NOT(ISERROR(SEARCH(("Empress"),(B2))))</formula>
    </cfRule>
    <cfRule type="containsText" dxfId="168" priority="9" operator="containsText" text="Seductress">
      <formula>NOT(ISERROR(SEARCH(("Seductress"),(B2))))</formula>
    </cfRule>
    <cfRule type="containsText" dxfId="167" priority="10" operator="containsText" text="Consort">
      <formula>NOT(ISERROR(SEARCH(("Consort"),(B2))))</formula>
    </cfRule>
    <cfRule type="containsText" dxfId="166" priority="11" operator="containsText" text="Sovereign">
      <formula>NOT(ISERROR(SEARCH(("Sovereign"),(B2))))</formula>
    </cfRule>
  </conditionalFormatting>
  <conditionalFormatting sqref="C51:C62">
    <cfRule type="containsText" dxfId="165" priority="2" operator="containsText" text="Seductress">
      <formula>NOT(ISERROR(SEARCH(("Seductress"),(C51))))</formula>
    </cfRule>
    <cfRule type="containsText" dxfId="164" priority="3" operator="containsText" text="Consort">
      <formula>NOT(ISERROR(SEARCH(("Consort"),(C51))))</formula>
    </cfRule>
    <cfRule type="containsText" dxfId="163" priority="4" operator="containsText" text="Sovereign">
      <formula>NOT(ISERROR(SEARCH(("Sovereign"),(C51))))</formula>
    </cfRule>
    <cfRule type="containsText" dxfId="162" priority="5" operator="containsText" text="Empress">
      <formula>NOT(ISERROR(SEARCH(("Empress"),(C51))))</formula>
    </cfRule>
  </conditionalFormatting>
  <conditionalFormatting sqref="C61:C62">
    <cfRule type="containsText" dxfId="161" priority="1" operator="containsText" text="Seductress">
      <formula>NOT(ISERROR(SEARCH(("Seductress"),(C61))))</formula>
    </cfRule>
  </conditionalFormatting>
  <conditionalFormatting sqref="L5:M8 B5:K9">
    <cfRule type="cellIs" dxfId="160" priority="6" operator="equal">
      <formula>1</formula>
    </cfRule>
  </conditionalFormatting>
  <conditionalFormatting sqref="L13:M16 B13:K17">
    <cfRule type="cellIs" dxfId="159" priority="7" operator="equal">
      <formula>4</formula>
    </cfRule>
  </conditionalFormatting>
  <conditionalFormatting sqref="N5">
    <cfRule type="expression" dxfId="158" priority="12">
      <formula>AND(N5 = MIN($N5:$N8))</formula>
    </cfRule>
  </conditionalFormatting>
  <conditionalFormatting sqref="N6">
    <cfRule type="expression" dxfId="157" priority="13">
      <formula>AND(N6 = MIN($N5:$N8))</formula>
    </cfRule>
  </conditionalFormatting>
  <conditionalFormatting sqref="N7">
    <cfRule type="expression" dxfId="156" priority="14">
      <formula>AND(N7 = MIN($N5:$N8))</formula>
    </cfRule>
  </conditionalFormatting>
  <conditionalFormatting sqref="N8">
    <cfRule type="expression" dxfId="155" priority="15">
      <formula>AND(N8 = MIN($N5:$N8))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Guide'!M13</f>
        <v>0</v>
      </c>
      <c r="B1" s="77">
        <f>'Epitome Archetype Guide'!N13</f>
        <v>0</v>
      </c>
      <c r="C1" s="2" t="s">
        <v>241</v>
      </c>
      <c r="D1" s="78">
        <f>'Epitome Archetype Guide'!P13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Analysis!I13</f>
        <v>0</v>
      </c>
      <c r="C2" s="60" t="b">
        <f>Analysis!J13</f>
        <v>0</v>
      </c>
      <c r="D2" s="60" t="b">
        <f>Analysis!K13</f>
        <v>0</v>
      </c>
      <c r="E2" s="60" t="b">
        <f>Analysis!L13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Guide'!S13</f>
        <v>0</v>
      </c>
      <c r="C5" s="64">
        <f>'Epitome Archetype Guide'!U13</f>
        <v>0</v>
      </c>
      <c r="D5" s="64">
        <f>'Epitome Archetype Guide'!Y13</f>
        <v>0</v>
      </c>
      <c r="E5" s="64">
        <f>'Epitome Archetype Guide'!AD13</f>
        <v>0</v>
      </c>
      <c r="F5" s="64">
        <f>'Epitome Archetype Guide'!AJ13</f>
        <v>0</v>
      </c>
      <c r="G5" s="64">
        <f>'Epitome Archetype Guide'!AM13</f>
        <v>0</v>
      </c>
      <c r="H5" s="64">
        <f>'Epitome Archetype Guide'!AO13</f>
        <v>0</v>
      </c>
      <c r="I5" s="64">
        <f>'Epitome Archetype Guide'!AT13</f>
        <v>0</v>
      </c>
      <c r="J5" s="64">
        <f>'Epitome Archetype Guide'!AZ13</f>
        <v>0</v>
      </c>
      <c r="K5" s="64">
        <f>'Epitome Archetype Guide'!BC13</f>
        <v>0</v>
      </c>
      <c r="L5" s="64">
        <f>'Epitome Archetype Guide'!BF13</f>
        <v>0</v>
      </c>
      <c r="M5" s="64">
        <f>'Epitome Archetype Guide'!BL13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Guide'!R13</f>
        <v>0</v>
      </c>
      <c r="C6" s="64">
        <f>'Epitome Archetype Guide'!V13</f>
        <v>0</v>
      </c>
      <c r="D6" s="64">
        <f>'Epitome Archetype Guide'!AA13</f>
        <v>0</v>
      </c>
      <c r="E6" s="64">
        <f>'Epitome Archetype Guide'!AC13</f>
        <v>0</v>
      </c>
      <c r="F6" s="64">
        <f>'Epitome Archetype Guide'!AG13</f>
        <v>0</v>
      </c>
      <c r="G6" s="64">
        <f>'Epitome Archetype Guide'!AL13</f>
        <v>0</v>
      </c>
      <c r="H6" s="64">
        <f>'Epitome Archetype Guide'!AR13</f>
        <v>0</v>
      </c>
      <c r="I6" s="64">
        <f>'Epitome Archetype Guide'!AS13</f>
        <v>0</v>
      </c>
      <c r="J6" s="64">
        <f>'Epitome Archetype Guide'!AX13</f>
        <v>0</v>
      </c>
      <c r="K6" s="64">
        <f>'Epitome Archetype Guide'!BA13</f>
        <v>0</v>
      </c>
      <c r="L6" s="64">
        <f>'Epitome Archetype Guide'!BE13</f>
        <v>0</v>
      </c>
      <c r="M6" s="64">
        <f>'Epitome Archetype Guide'!BK13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Guide'!T13</f>
        <v>0</v>
      </c>
      <c r="C7" s="64">
        <f>'Epitome Archetype Guide'!X13</f>
        <v>0</v>
      </c>
      <c r="D7" s="64">
        <f>'Epitome Archetype Guide'!Z13</f>
        <v>0</v>
      </c>
      <c r="E7" s="64">
        <f>'Epitome Archetype Guide'!AE13</f>
        <v>0</v>
      </c>
      <c r="F7" s="64">
        <f>'Epitome Archetype Guide'!AH13</f>
        <v>0</v>
      </c>
      <c r="G7" s="64">
        <f>'Epitome Archetype Guide'!AK13</f>
        <v>0</v>
      </c>
      <c r="H7" s="64">
        <f>'Epitome Archetype Guide'!AP13</f>
        <v>0</v>
      </c>
      <c r="I7" s="64">
        <f>'Epitome Archetype Guide'!AV13</f>
        <v>0</v>
      </c>
      <c r="J7" s="64">
        <f>'Epitome Archetype Guide'!AY13</f>
        <v>0</v>
      </c>
      <c r="K7" s="64">
        <f>'Epitome Archetype Guide'!BD13</f>
        <v>0</v>
      </c>
      <c r="L7" s="64">
        <f>'Epitome Archetype Guide'!BG13</f>
        <v>0</v>
      </c>
      <c r="M7" s="64">
        <f>'Epitome Archetype Guide'!BI13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Guide'!Q13</f>
        <v>0</v>
      </c>
      <c r="C8" s="64">
        <f>'Epitome Archetype Guide'!W13</f>
        <v>0</v>
      </c>
      <c r="D8" s="64">
        <f>'Epitome Archetype Guide'!AB13</f>
        <v>0</v>
      </c>
      <c r="E8" s="64">
        <f>'Epitome Archetype Guide'!AF13</f>
        <v>0</v>
      </c>
      <c r="F8" s="64">
        <f>'Epitome Archetype Guide'!AI13</f>
        <v>0</v>
      </c>
      <c r="G8" s="64">
        <f>'Epitome Archetype Guide'!AN13</f>
        <v>0</v>
      </c>
      <c r="H8" s="64">
        <f>'Epitome Archetype Guide'!AQ13</f>
        <v>0</v>
      </c>
      <c r="I8" s="64">
        <f>'Epitome Archetype Guide'!AU13</f>
        <v>0</v>
      </c>
      <c r="J8" s="64">
        <f>'Epitome Archetype Guide'!AW13</f>
        <v>0</v>
      </c>
      <c r="K8" s="64">
        <f>'Epitome Archetype Guide'!BB13</f>
        <v>0</v>
      </c>
      <c r="L8" s="64">
        <f>'Epitome Archetype Guide'!BH13</f>
        <v>0</v>
      </c>
      <c r="M8" s="64">
        <f>'Epitome Archetype Guide'!BJ13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0.2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0.2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54" priority="8" operator="containsText" text="Empress">
      <formula>NOT(ISERROR(SEARCH(("Empress"),(B2))))</formula>
    </cfRule>
    <cfRule type="containsText" dxfId="153" priority="9" operator="containsText" text="Seductress">
      <formula>NOT(ISERROR(SEARCH(("Seductress"),(B2))))</formula>
    </cfRule>
    <cfRule type="containsText" dxfId="152" priority="10" operator="containsText" text="Consort">
      <formula>NOT(ISERROR(SEARCH(("Consort"),(B2))))</formula>
    </cfRule>
    <cfRule type="containsText" dxfId="151" priority="11" operator="containsText" text="Sovereign">
      <formula>NOT(ISERROR(SEARCH(("Sovereign"),(B2))))</formula>
    </cfRule>
  </conditionalFormatting>
  <conditionalFormatting sqref="B13:K17">
    <cfRule type="cellIs" dxfId="150" priority="7" operator="equal">
      <formula>4</formula>
    </cfRule>
  </conditionalFormatting>
  <conditionalFormatting sqref="C51:C62">
    <cfRule type="containsText" dxfId="149" priority="2" operator="containsText" text="Seductress">
      <formula>NOT(ISERROR(SEARCH(("Seductress"),(C51))))</formula>
    </cfRule>
    <cfRule type="containsText" dxfId="148" priority="3" operator="containsText" text="Consort">
      <formula>NOT(ISERROR(SEARCH(("Consort"),(C51))))</formula>
    </cfRule>
    <cfRule type="containsText" dxfId="147" priority="4" operator="containsText" text="Sovereign">
      <formula>NOT(ISERROR(SEARCH(("Sovereign"),(C51))))</formula>
    </cfRule>
    <cfRule type="containsText" dxfId="146" priority="5" operator="containsText" text="Empress">
      <formula>NOT(ISERROR(SEARCH(("Empress"),(C51))))</formula>
    </cfRule>
  </conditionalFormatting>
  <conditionalFormatting sqref="C61:C62">
    <cfRule type="containsText" dxfId="145" priority="1" operator="containsText" text="Seductress">
      <formula>NOT(ISERROR(SEARCH(("Seductress"),(C61))))</formula>
    </cfRule>
  </conditionalFormatting>
  <conditionalFormatting sqref="L5:M8 B5:K9 L13:M16">
    <cfRule type="cellIs" dxfId="144" priority="6" operator="equal">
      <formula>1</formula>
    </cfRule>
  </conditionalFormatting>
  <conditionalFormatting sqref="N5">
    <cfRule type="expression" dxfId="143" priority="12">
      <formula>AND(N5 = MIN($N5:$N8))</formula>
    </cfRule>
  </conditionalFormatting>
  <conditionalFormatting sqref="N6">
    <cfRule type="expression" dxfId="142" priority="13">
      <formula>AND(N6 = MIN($N5:$N8))</formula>
    </cfRule>
  </conditionalFormatting>
  <conditionalFormatting sqref="N7">
    <cfRule type="expression" dxfId="141" priority="14">
      <formula>AND(N7 = MIN($N5:$N8))</formula>
    </cfRule>
  </conditionalFormatting>
  <conditionalFormatting sqref="N8">
    <cfRule type="expression" dxfId="140" priority="15">
      <formula>AND(N8 = MIN($N5:$N8))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Guide'!M14</f>
        <v>0</v>
      </c>
      <c r="B1" s="77">
        <f>'Epitome Archetype Guide'!N14</f>
        <v>0</v>
      </c>
      <c r="C1" s="2" t="s">
        <v>241</v>
      </c>
      <c r="D1" s="78">
        <f>'Epitome Archetype Guide'!P14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Analysis!I14</f>
        <v>0</v>
      </c>
      <c r="C2" s="60" t="b">
        <f>Analysis!J14</f>
        <v>0</v>
      </c>
      <c r="D2" s="60" t="b">
        <f>Analysis!K14</f>
        <v>0</v>
      </c>
      <c r="E2" s="60" t="b">
        <f>Analysis!L14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Reference!A14</f>
        <v>Managing Challenges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Guide'!S14</f>
        <v>0</v>
      </c>
      <c r="C5" s="64">
        <f>'Epitome Archetype Guide'!U14</f>
        <v>0</v>
      </c>
      <c r="D5" s="64">
        <f>'Epitome Archetype Guide'!Y14</f>
        <v>0</v>
      </c>
      <c r="E5" s="64">
        <f>'Epitome Archetype Guide'!AD14</f>
        <v>0</v>
      </c>
      <c r="F5" s="64">
        <f>'Epitome Archetype Guide'!AJ14</f>
        <v>0</v>
      </c>
      <c r="G5" s="64">
        <f>'Epitome Archetype Guide'!AM14</f>
        <v>0</v>
      </c>
      <c r="H5" s="64">
        <f>'Epitome Archetype Guide'!AO14</f>
        <v>0</v>
      </c>
      <c r="I5" s="64">
        <f>'Epitome Archetype Guide'!AT14</f>
        <v>0</v>
      </c>
      <c r="J5" s="64">
        <f>'Epitome Archetype Guide'!AZ14</f>
        <v>0</v>
      </c>
      <c r="K5" s="64">
        <f>'Epitome Archetype Guide'!BC14</f>
        <v>0</v>
      </c>
      <c r="L5" s="64">
        <f>'Epitome Archetype Guide'!BF14</f>
        <v>0</v>
      </c>
      <c r="M5" s="64">
        <f>'Epitome Archetype Guide'!BL14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Guide'!R14</f>
        <v>0</v>
      </c>
      <c r="C6" s="64">
        <f>'Epitome Archetype Guide'!V14</f>
        <v>0</v>
      </c>
      <c r="D6" s="64">
        <f>'Epitome Archetype Guide'!AA14</f>
        <v>0</v>
      </c>
      <c r="E6" s="64">
        <f>'Epitome Archetype Guide'!AC14</f>
        <v>0</v>
      </c>
      <c r="F6" s="64">
        <f>'Epitome Archetype Guide'!AG14</f>
        <v>0</v>
      </c>
      <c r="G6" s="64">
        <f>'Epitome Archetype Guide'!AL14</f>
        <v>0</v>
      </c>
      <c r="H6" s="64">
        <f>'Epitome Archetype Guide'!AR14</f>
        <v>0</v>
      </c>
      <c r="I6" s="64">
        <f>'Epitome Archetype Guide'!AS14</f>
        <v>0</v>
      </c>
      <c r="J6" s="64">
        <f>'Epitome Archetype Guide'!AX14</f>
        <v>0</v>
      </c>
      <c r="K6" s="64">
        <f>'Epitome Archetype Guide'!BA14</f>
        <v>0</v>
      </c>
      <c r="L6" s="64">
        <f>'Epitome Archetype Guide'!BE14</f>
        <v>0</v>
      </c>
      <c r="M6" s="64">
        <f>'Epitome Archetype Guide'!BK14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Guide'!T14</f>
        <v>0</v>
      </c>
      <c r="C7" s="64">
        <f>'Epitome Archetype Guide'!X14</f>
        <v>0</v>
      </c>
      <c r="D7" s="64">
        <f>'Epitome Archetype Guide'!Z14</f>
        <v>0</v>
      </c>
      <c r="E7" s="64">
        <f>'Epitome Archetype Guide'!AE14</f>
        <v>0</v>
      </c>
      <c r="F7" s="64">
        <f>'Epitome Archetype Guide'!AH14</f>
        <v>0</v>
      </c>
      <c r="G7" s="64">
        <f>'Epitome Archetype Guide'!AK14</f>
        <v>0</v>
      </c>
      <c r="H7" s="64">
        <f>'Epitome Archetype Guide'!AP14</f>
        <v>0</v>
      </c>
      <c r="I7" s="64">
        <f>'Epitome Archetype Guide'!AV14</f>
        <v>0</v>
      </c>
      <c r="J7" s="64">
        <f>'Epitome Archetype Guide'!AY14</f>
        <v>0</v>
      </c>
      <c r="K7" s="64">
        <f>'Epitome Archetype Guide'!BD14</f>
        <v>0</v>
      </c>
      <c r="L7" s="64">
        <f>'Epitome Archetype Guide'!BG14</f>
        <v>0</v>
      </c>
      <c r="M7" s="64">
        <f>'Epitome Archetype Guide'!BI14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Guide'!Q14</f>
        <v>0</v>
      </c>
      <c r="C8" s="64">
        <f>'Epitome Archetype Guide'!W14</f>
        <v>0</v>
      </c>
      <c r="D8" s="64">
        <f>'Epitome Archetype Guide'!AB14</f>
        <v>0</v>
      </c>
      <c r="E8" s="64">
        <f>'Epitome Archetype Guide'!AF14</f>
        <v>0</v>
      </c>
      <c r="F8" s="64">
        <f>'Epitome Archetype Guide'!AI14</f>
        <v>0</v>
      </c>
      <c r="G8" s="64">
        <f>'Epitome Archetype Guide'!AN14</f>
        <v>0</v>
      </c>
      <c r="H8" s="64">
        <f>'Epitome Archetype Guide'!AQ14</f>
        <v>0</v>
      </c>
      <c r="I8" s="64">
        <f>'Epitome Archetype Guide'!AU14</f>
        <v>0</v>
      </c>
      <c r="J8" s="64">
        <f>'Epitome Archetype Guide'!AW14</f>
        <v>0</v>
      </c>
      <c r="K8" s="64">
        <f>'Epitome Archetype Guide'!BB14</f>
        <v>0</v>
      </c>
      <c r="L8" s="64">
        <f>'Epitome Archetype Guide'!BH14</f>
        <v>0</v>
      </c>
      <c r="M8" s="64">
        <f>'Epitome Archetype Guide'!BJ14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Managing Challenges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18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19.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39" priority="8" operator="containsText" text="Empress">
      <formula>NOT(ISERROR(SEARCH(("Empress"),(B2))))</formula>
    </cfRule>
    <cfRule type="containsText" dxfId="138" priority="9" operator="containsText" text="Seductress">
      <formula>NOT(ISERROR(SEARCH(("Seductress"),(B2))))</formula>
    </cfRule>
    <cfRule type="containsText" dxfId="137" priority="10" operator="containsText" text="Consort">
      <formula>NOT(ISERROR(SEARCH(("Consort"),(B2))))</formula>
    </cfRule>
    <cfRule type="containsText" dxfId="136" priority="11" operator="containsText" text="Sovereign">
      <formula>NOT(ISERROR(SEARCH(("Sovereign"),(B2))))</formula>
    </cfRule>
  </conditionalFormatting>
  <conditionalFormatting sqref="B13:K17">
    <cfRule type="cellIs" dxfId="135" priority="7" operator="equal">
      <formula>4</formula>
    </cfRule>
  </conditionalFormatting>
  <conditionalFormatting sqref="C51:C62">
    <cfRule type="containsText" dxfId="134" priority="2" operator="containsText" text="Seductress">
      <formula>NOT(ISERROR(SEARCH(("Seductress"),(C51))))</formula>
    </cfRule>
    <cfRule type="containsText" dxfId="133" priority="3" operator="containsText" text="Consort">
      <formula>NOT(ISERROR(SEARCH(("Consort"),(C51))))</formula>
    </cfRule>
    <cfRule type="containsText" dxfId="132" priority="4" operator="containsText" text="Sovereign">
      <formula>NOT(ISERROR(SEARCH(("Sovereign"),(C51))))</formula>
    </cfRule>
    <cfRule type="containsText" dxfId="131" priority="5" operator="containsText" text="Empress">
      <formula>NOT(ISERROR(SEARCH(("Empress"),(C51))))</formula>
    </cfRule>
  </conditionalFormatting>
  <conditionalFormatting sqref="C61:C62">
    <cfRule type="containsText" dxfId="130" priority="1" operator="containsText" text="Seductress">
      <formula>NOT(ISERROR(SEARCH(("Seductress"),(C61))))</formula>
    </cfRule>
  </conditionalFormatting>
  <conditionalFormatting sqref="L5:M8 B5:K9 L13:M16">
    <cfRule type="cellIs" dxfId="129" priority="6" operator="equal">
      <formula>1</formula>
    </cfRule>
  </conditionalFormatting>
  <conditionalFormatting sqref="N5">
    <cfRule type="expression" dxfId="128" priority="12">
      <formula>AND(N5 = MIN($N5:$N8))</formula>
    </cfRule>
  </conditionalFormatting>
  <conditionalFormatting sqref="N6">
    <cfRule type="expression" dxfId="127" priority="13">
      <formula>AND(N6 = MIN($N5:$N8))</formula>
    </cfRule>
  </conditionalFormatting>
  <conditionalFormatting sqref="N7">
    <cfRule type="expression" dxfId="126" priority="14">
      <formula>AND(N7 = MIN($N5:$N8))</formula>
    </cfRule>
  </conditionalFormatting>
  <conditionalFormatting sqref="N8">
    <cfRule type="expression" dxfId="125" priority="15">
      <formula>AND(N8 = MIN($N5:$N8))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Guide'!M15</f>
        <v>0</v>
      </c>
      <c r="B1" s="77">
        <f>'Epitome Archetype Guide'!N15</f>
        <v>0</v>
      </c>
      <c r="C1" s="2" t="s">
        <v>241</v>
      </c>
      <c r="D1" s="78">
        <f>'Epitome Archetype Guide'!P15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Analysis!I15</f>
        <v>0</v>
      </c>
      <c r="C2" s="60" t="b">
        <f>Analysis!J15</f>
        <v>0</v>
      </c>
      <c r="D2" s="60" t="b">
        <f>Analysis!K15</f>
        <v>0</v>
      </c>
      <c r="E2" s="60" t="b">
        <f>Analysis!L15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Guide'!S15</f>
        <v>0</v>
      </c>
      <c r="C5" s="64">
        <f>'Epitome Archetype Guide'!U15</f>
        <v>0</v>
      </c>
      <c r="D5" s="64">
        <f>'Epitome Archetype Guide'!Y15</f>
        <v>0</v>
      </c>
      <c r="E5" s="64">
        <f>'Epitome Archetype Guide'!AD15</f>
        <v>0</v>
      </c>
      <c r="F5" s="64">
        <f>'Epitome Archetype Guide'!AJ15</f>
        <v>0</v>
      </c>
      <c r="G5" s="64">
        <f>'Epitome Archetype Guide'!AM15</f>
        <v>0</v>
      </c>
      <c r="H5" s="64">
        <f>'Epitome Archetype Guide'!AO15</f>
        <v>0</v>
      </c>
      <c r="I5" s="64">
        <f>'Epitome Archetype Guide'!AT15</f>
        <v>0</v>
      </c>
      <c r="J5" s="64">
        <f>'Epitome Archetype Guide'!AZ15</f>
        <v>0</v>
      </c>
      <c r="K5" s="64">
        <f>'Epitome Archetype Guide'!BC15</f>
        <v>0</v>
      </c>
      <c r="L5" s="64">
        <f>'Epitome Archetype Guide'!BF15</f>
        <v>0</v>
      </c>
      <c r="M5" s="64">
        <f>'Epitome Archetype Guide'!BL15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Guide'!R15</f>
        <v>0</v>
      </c>
      <c r="C6" s="64">
        <f>'Epitome Archetype Guide'!V15</f>
        <v>0</v>
      </c>
      <c r="D6" s="64">
        <f>'Epitome Archetype Guide'!AA15</f>
        <v>0</v>
      </c>
      <c r="E6" s="64">
        <f>'Epitome Archetype Guide'!AC15</f>
        <v>0</v>
      </c>
      <c r="F6" s="64">
        <f>'Epitome Archetype Guide'!AG15</f>
        <v>0</v>
      </c>
      <c r="G6" s="64">
        <f>'Epitome Archetype Guide'!AL15</f>
        <v>0</v>
      </c>
      <c r="H6" s="64">
        <f>'Epitome Archetype Guide'!AR15</f>
        <v>0</v>
      </c>
      <c r="I6" s="64">
        <f>'Epitome Archetype Guide'!AS15</f>
        <v>0</v>
      </c>
      <c r="J6" s="64">
        <f>'Epitome Archetype Guide'!AX15</f>
        <v>0</v>
      </c>
      <c r="K6" s="64">
        <f>'Epitome Archetype Guide'!BA15</f>
        <v>0</v>
      </c>
      <c r="L6" s="64">
        <f>'Epitome Archetype Guide'!BE15</f>
        <v>0</v>
      </c>
      <c r="M6" s="64">
        <f>'Epitome Archetype Guide'!BK15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Guide'!T15</f>
        <v>0</v>
      </c>
      <c r="C7" s="64">
        <f>'Epitome Archetype Guide'!X15</f>
        <v>0</v>
      </c>
      <c r="D7" s="64">
        <f>'Epitome Archetype Guide'!Z15</f>
        <v>0</v>
      </c>
      <c r="E7" s="64">
        <f>'Epitome Archetype Guide'!AE15</f>
        <v>0</v>
      </c>
      <c r="F7" s="64">
        <f>'Epitome Archetype Guide'!AH15</f>
        <v>0</v>
      </c>
      <c r="G7" s="64">
        <f>'Epitome Archetype Guide'!AK15</f>
        <v>0</v>
      </c>
      <c r="H7" s="64">
        <f>'Epitome Archetype Guide'!AP15</f>
        <v>0</v>
      </c>
      <c r="I7" s="64">
        <f>'Epitome Archetype Guide'!AV15</f>
        <v>0</v>
      </c>
      <c r="J7" s="64">
        <f>'Epitome Archetype Guide'!AY15</f>
        <v>0</v>
      </c>
      <c r="K7" s="64">
        <f>'Epitome Archetype Guide'!BD15</f>
        <v>0</v>
      </c>
      <c r="L7" s="64">
        <f>'Epitome Archetype Guide'!BG15</f>
        <v>0</v>
      </c>
      <c r="M7" s="64">
        <f>'Epitome Archetype Guide'!BI15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Guide'!Q15</f>
        <v>0</v>
      </c>
      <c r="C8" s="64">
        <f>'Epitome Archetype Guide'!W15</f>
        <v>0</v>
      </c>
      <c r="D8" s="64">
        <f>'Epitome Archetype Guide'!AB15</f>
        <v>0</v>
      </c>
      <c r="E8" s="64">
        <f>'Epitome Archetype Guide'!AF15</f>
        <v>0</v>
      </c>
      <c r="F8" s="64">
        <f>'Epitome Archetype Guide'!AI15</f>
        <v>0</v>
      </c>
      <c r="G8" s="64">
        <f>'Epitome Archetype Guide'!AN15</f>
        <v>0</v>
      </c>
      <c r="H8" s="64">
        <f>'Epitome Archetype Guide'!AQ15</f>
        <v>0</v>
      </c>
      <c r="I8" s="64">
        <f>'Epitome Archetype Guide'!AU15</f>
        <v>0</v>
      </c>
      <c r="J8" s="64">
        <f>'Epitome Archetype Guide'!AW15</f>
        <v>0</v>
      </c>
      <c r="K8" s="64">
        <f>'Epitome Archetype Guide'!BB15</f>
        <v>0</v>
      </c>
      <c r="L8" s="64">
        <f>'Epitome Archetype Guide'!BH15</f>
        <v>0</v>
      </c>
      <c r="M8" s="64">
        <f>'Epitome Archetype Guide'!BJ15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19.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1.7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24" priority="8" operator="containsText" text="Empress">
      <formula>NOT(ISERROR(SEARCH(("Empress"),(B2))))</formula>
    </cfRule>
    <cfRule type="containsText" dxfId="123" priority="9" operator="containsText" text="Seductress">
      <formula>NOT(ISERROR(SEARCH(("Seductress"),(B2))))</formula>
    </cfRule>
    <cfRule type="containsText" dxfId="122" priority="10" operator="containsText" text="Consort">
      <formula>NOT(ISERROR(SEARCH(("Consort"),(B2))))</formula>
    </cfRule>
    <cfRule type="containsText" dxfId="121" priority="11" operator="containsText" text="Sovereign">
      <formula>NOT(ISERROR(SEARCH(("Sovereign"),(B2))))</formula>
    </cfRule>
  </conditionalFormatting>
  <conditionalFormatting sqref="B13:K17">
    <cfRule type="cellIs" dxfId="120" priority="7" operator="equal">
      <formula>4</formula>
    </cfRule>
  </conditionalFormatting>
  <conditionalFormatting sqref="C51:C62">
    <cfRule type="containsText" dxfId="119" priority="2" operator="containsText" text="Seductress">
      <formula>NOT(ISERROR(SEARCH(("Seductress"),(C51))))</formula>
    </cfRule>
    <cfRule type="containsText" dxfId="118" priority="3" operator="containsText" text="Consort">
      <formula>NOT(ISERROR(SEARCH(("Consort"),(C51))))</formula>
    </cfRule>
    <cfRule type="containsText" dxfId="117" priority="4" operator="containsText" text="Sovereign">
      <formula>NOT(ISERROR(SEARCH(("Sovereign"),(C51))))</formula>
    </cfRule>
    <cfRule type="containsText" dxfId="116" priority="5" operator="containsText" text="Empress">
      <formula>NOT(ISERROR(SEARCH(("Empress"),(C51))))</formula>
    </cfRule>
  </conditionalFormatting>
  <conditionalFormatting sqref="C61:C62">
    <cfRule type="containsText" dxfId="115" priority="1" operator="containsText" text="Seductress">
      <formula>NOT(ISERROR(SEARCH(("Seductress"),(C61))))</formula>
    </cfRule>
  </conditionalFormatting>
  <conditionalFormatting sqref="L5:M8 B5:K9 L13:M16">
    <cfRule type="cellIs" dxfId="114" priority="6" operator="equal">
      <formula>1</formula>
    </cfRule>
  </conditionalFormatting>
  <conditionalFormatting sqref="N5">
    <cfRule type="expression" dxfId="113" priority="12">
      <formula>AND(N5 = MIN($N5:$N8))</formula>
    </cfRule>
  </conditionalFormatting>
  <conditionalFormatting sqref="N6">
    <cfRule type="expression" dxfId="112" priority="13">
      <formula>AND(N6 = MIN($N5:$N8))</formula>
    </cfRule>
  </conditionalFormatting>
  <conditionalFormatting sqref="N7">
    <cfRule type="expression" dxfId="111" priority="14">
      <formula>AND(N7 = MIN($N5:$N8))</formula>
    </cfRule>
  </conditionalFormatting>
  <conditionalFormatting sqref="N8">
    <cfRule type="expression" dxfId="110" priority="15">
      <formula>AND(N8 = MIN($N5:$N8))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Guide'!M16</f>
        <v>0</v>
      </c>
      <c r="B1" s="77">
        <f>'Epitome Archetype Guide'!N16</f>
        <v>0</v>
      </c>
      <c r="C1" s="2" t="s">
        <v>241</v>
      </c>
      <c r="D1" s="78">
        <f>'Epitome Archetype Guide'!P16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Analysis!I16</f>
        <v>0</v>
      </c>
      <c r="C2" s="60" t="b">
        <f>Analysis!J16</f>
        <v>0</v>
      </c>
      <c r="D2" s="60" t="b">
        <f>Analysis!K16</f>
        <v>0</v>
      </c>
      <c r="E2" s="60" t="b">
        <f>Analysis!L16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Guide'!S16</f>
        <v>0</v>
      </c>
      <c r="C5" s="64">
        <f>'Epitome Archetype Guide'!U16</f>
        <v>0</v>
      </c>
      <c r="D5" s="64">
        <f>'Epitome Archetype Guide'!Y16</f>
        <v>0</v>
      </c>
      <c r="E5" s="64">
        <f>'Epitome Archetype Guide'!AD16</f>
        <v>0</v>
      </c>
      <c r="F5" s="64">
        <f>'Epitome Archetype Guide'!AJ16</f>
        <v>0</v>
      </c>
      <c r="G5" s="64">
        <f>'Epitome Archetype Guide'!AM16</f>
        <v>0</v>
      </c>
      <c r="H5" s="64">
        <f>'Epitome Archetype Guide'!AO16</f>
        <v>0</v>
      </c>
      <c r="I5" s="64">
        <f>'Epitome Archetype Guide'!AT16</f>
        <v>0</v>
      </c>
      <c r="J5" s="64">
        <f>'Epitome Archetype Guide'!AZ16</f>
        <v>0</v>
      </c>
      <c r="K5" s="64">
        <f>'Epitome Archetype Guide'!BC16</f>
        <v>0</v>
      </c>
      <c r="L5" s="64">
        <f>'Epitome Archetype Guide'!BF16</f>
        <v>0</v>
      </c>
      <c r="M5" s="64">
        <f>'Epitome Archetype Guide'!BL16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Guide'!R16</f>
        <v>0</v>
      </c>
      <c r="C6" s="64">
        <f>'Epitome Archetype Guide'!V16</f>
        <v>0</v>
      </c>
      <c r="D6" s="64">
        <f>'Epitome Archetype Guide'!AA16</f>
        <v>0</v>
      </c>
      <c r="E6" s="64">
        <f>'Epitome Archetype Guide'!AC16</f>
        <v>0</v>
      </c>
      <c r="F6" s="64">
        <f>'Epitome Archetype Guide'!AG16</f>
        <v>0</v>
      </c>
      <c r="G6" s="64">
        <f>'Epitome Archetype Guide'!AL16</f>
        <v>0</v>
      </c>
      <c r="H6" s="64">
        <f>'Epitome Archetype Guide'!AR16</f>
        <v>0</v>
      </c>
      <c r="I6" s="64">
        <f>'Epitome Archetype Guide'!AS16</f>
        <v>0</v>
      </c>
      <c r="J6" s="64">
        <f>'Epitome Archetype Guide'!AX16</f>
        <v>0</v>
      </c>
      <c r="K6" s="64">
        <f>'Epitome Archetype Guide'!BA16</f>
        <v>0</v>
      </c>
      <c r="L6" s="64">
        <f>'Epitome Archetype Guide'!BE16</f>
        <v>0</v>
      </c>
      <c r="M6" s="64">
        <f>'Epitome Archetype Guide'!BK16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Guide'!T16</f>
        <v>0</v>
      </c>
      <c r="C7" s="64">
        <f>'Epitome Archetype Guide'!X16</f>
        <v>0</v>
      </c>
      <c r="D7" s="64">
        <f>'Epitome Archetype Guide'!Z16</f>
        <v>0</v>
      </c>
      <c r="E7" s="64">
        <f>'Epitome Archetype Guide'!AE16</f>
        <v>0</v>
      </c>
      <c r="F7" s="64">
        <f>'Epitome Archetype Guide'!AH16</f>
        <v>0</v>
      </c>
      <c r="G7" s="64">
        <f>'Epitome Archetype Guide'!AK16</f>
        <v>0</v>
      </c>
      <c r="H7" s="64">
        <f>'Epitome Archetype Guide'!AP16</f>
        <v>0</v>
      </c>
      <c r="I7" s="64">
        <f>'Epitome Archetype Guide'!AV16</f>
        <v>0</v>
      </c>
      <c r="J7" s="64">
        <f>'Epitome Archetype Guide'!AY16</f>
        <v>0</v>
      </c>
      <c r="K7" s="64">
        <f>'Epitome Archetype Guide'!BD16</f>
        <v>0</v>
      </c>
      <c r="L7" s="64">
        <f>'Epitome Archetype Guide'!BG16</f>
        <v>0</v>
      </c>
      <c r="M7" s="64">
        <f>'Epitome Archetype Guide'!BI16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Guide'!Q16</f>
        <v>0</v>
      </c>
      <c r="C8" s="64">
        <f>'Epitome Archetype Guide'!W16</f>
        <v>0</v>
      </c>
      <c r="D8" s="64">
        <f>'Epitome Archetype Guide'!AB16</f>
        <v>0</v>
      </c>
      <c r="E8" s="64">
        <f>'Epitome Archetype Guide'!AF16</f>
        <v>0</v>
      </c>
      <c r="F8" s="64">
        <f>'Epitome Archetype Guide'!AI16</f>
        <v>0</v>
      </c>
      <c r="G8" s="64">
        <f>'Epitome Archetype Guide'!AN16</f>
        <v>0</v>
      </c>
      <c r="H8" s="64">
        <f>'Epitome Archetype Guide'!AQ16</f>
        <v>0</v>
      </c>
      <c r="I8" s="64">
        <f>'Epitome Archetype Guide'!AU16</f>
        <v>0</v>
      </c>
      <c r="J8" s="64">
        <f>'Epitome Archetype Guide'!AW16</f>
        <v>0</v>
      </c>
      <c r="K8" s="64">
        <f>'Epitome Archetype Guide'!BB16</f>
        <v>0</v>
      </c>
      <c r="L8" s="64">
        <f>'Epitome Archetype Guide'!BH16</f>
        <v>0</v>
      </c>
      <c r="M8" s="64">
        <f>'Epitome Archetype Guide'!BJ16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0.2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1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109" priority="8" operator="containsText" text="Empress">
      <formula>NOT(ISERROR(SEARCH(("Empress"),(B2))))</formula>
    </cfRule>
    <cfRule type="containsText" dxfId="108" priority="9" operator="containsText" text="Seductress">
      <formula>NOT(ISERROR(SEARCH(("Seductress"),(B2))))</formula>
    </cfRule>
    <cfRule type="containsText" dxfId="107" priority="10" operator="containsText" text="Consort">
      <formula>NOT(ISERROR(SEARCH(("Consort"),(B2))))</formula>
    </cfRule>
    <cfRule type="containsText" dxfId="106" priority="11" operator="containsText" text="Sovereign">
      <formula>NOT(ISERROR(SEARCH(("Sovereign"),(B2))))</formula>
    </cfRule>
  </conditionalFormatting>
  <conditionalFormatting sqref="B13:K17">
    <cfRule type="cellIs" dxfId="105" priority="7" operator="equal">
      <formula>4</formula>
    </cfRule>
  </conditionalFormatting>
  <conditionalFormatting sqref="C51:C62">
    <cfRule type="containsText" dxfId="104" priority="2" operator="containsText" text="Seductress">
      <formula>NOT(ISERROR(SEARCH(("Seductress"),(C51))))</formula>
    </cfRule>
    <cfRule type="containsText" dxfId="103" priority="3" operator="containsText" text="Consort">
      <formula>NOT(ISERROR(SEARCH(("Consort"),(C51))))</formula>
    </cfRule>
    <cfRule type="containsText" dxfId="102" priority="4" operator="containsText" text="Sovereign">
      <formula>NOT(ISERROR(SEARCH(("Sovereign"),(C51))))</formula>
    </cfRule>
    <cfRule type="containsText" dxfId="101" priority="5" operator="containsText" text="Empress">
      <formula>NOT(ISERROR(SEARCH(("Empress"),(C51))))</formula>
    </cfRule>
  </conditionalFormatting>
  <conditionalFormatting sqref="C61:C62">
    <cfRule type="containsText" dxfId="100" priority="1" operator="containsText" text="Seductress">
      <formula>NOT(ISERROR(SEARCH(("Seductress"),(C61))))</formula>
    </cfRule>
  </conditionalFormatting>
  <conditionalFormatting sqref="L5:M8 B5:K9 L13:M16">
    <cfRule type="cellIs" dxfId="99" priority="6" operator="equal">
      <formula>1</formula>
    </cfRule>
  </conditionalFormatting>
  <conditionalFormatting sqref="N5">
    <cfRule type="expression" dxfId="98" priority="12">
      <formula>AND(N5 = MIN($N5:$N8))</formula>
    </cfRule>
  </conditionalFormatting>
  <conditionalFormatting sqref="N6">
    <cfRule type="expression" dxfId="97" priority="13">
      <formula>AND(N6 = MIN($N5:$N8))</formula>
    </cfRule>
  </conditionalFormatting>
  <conditionalFormatting sqref="N7">
    <cfRule type="expression" dxfId="96" priority="14">
      <formula>AND(N7 = MIN($N5:$N8))</formula>
    </cfRule>
  </conditionalFormatting>
  <conditionalFormatting sqref="N8">
    <cfRule type="expression" dxfId="95" priority="15">
      <formula>AND(N8 = MIN($N5:$N8))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Guide'!M17</f>
        <v>0</v>
      </c>
      <c r="B1" s="77">
        <f>'Epitome Archetype Guide'!N17</f>
        <v>0</v>
      </c>
      <c r="C1" s="2" t="s">
        <v>241</v>
      </c>
      <c r="D1" s="78">
        <f>'Epitome Archetype Guide'!P17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Analysis!I17</f>
        <v>0</v>
      </c>
      <c r="C2" s="60" t="b">
        <f>Analysis!J17</f>
        <v>0</v>
      </c>
      <c r="D2" s="60" t="b">
        <f>Analysis!K17</f>
        <v>0</v>
      </c>
      <c r="E2" s="60" t="b">
        <f>Analysis!L17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Guide'!S17</f>
        <v>0</v>
      </c>
      <c r="C5" s="64">
        <f>'Epitome Archetype Guide'!U17</f>
        <v>0</v>
      </c>
      <c r="D5" s="64">
        <f>'Epitome Archetype Guide'!Y17</f>
        <v>0</v>
      </c>
      <c r="E5" s="64">
        <f>'Epitome Archetype Guide'!AD17</f>
        <v>0</v>
      </c>
      <c r="F5" s="64">
        <f>'Epitome Archetype Guide'!AJ17</f>
        <v>0</v>
      </c>
      <c r="G5" s="64">
        <f>'Epitome Archetype Guide'!AM17</f>
        <v>0</v>
      </c>
      <c r="H5" s="64">
        <f>'Epitome Archetype Guide'!AO17</f>
        <v>0</v>
      </c>
      <c r="I5" s="64">
        <f>'Epitome Archetype Guide'!AT17</f>
        <v>0</v>
      </c>
      <c r="J5" s="64">
        <f>'Epitome Archetype Guide'!AZ17</f>
        <v>0</v>
      </c>
      <c r="K5" s="64">
        <f>'Epitome Archetype Guide'!BC17</f>
        <v>0</v>
      </c>
      <c r="L5" s="64">
        <f>'Epitome Archetype Guide'!BF17</f>
        <v>0</v>
      </c>
      <c r="M5" s="64">
        <f>'Epitome Archetype Guide'!BL17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Guide'!R17</f>
        <v>0</v>
      </c>
      <c r="C6" s="64">
        <f>'Epitome Archetype Guide'!V17</f>
        <v>0</v>
      </c>
      <c r="D6" s="64">
        <f>'Epitome Archetype Guide'!AA17</f>
        <v>0</v>
      </c>
      <c r="E6" s="64">
        <f>'Epitome Archetype Guide'!AC17</f>
        <v>0</v>
      </c>
      <c r="F6" s="64">
        <f>'Epitome Archetype Guide'!AG17</f>
        <v>0</v>
      </c>
      <c r="G6" s="64">
        <f>'Epitome Archetype Guide'!AL17</f>
        <v>0</v>
      </c>
      <c r="H6" s="64">
        <f>'Epitome Archetype Guide'!AR17</f>
        <v>0</v>
      </c>
      <c r="I6" s="64">
        <f>'Epitome Archetype Guide'!AS17</f>
        <v>0</v>
      </c>
      <c r="J6" s="64">
        <f>'Epitome Archetype Guide'!AX17</f>
        <v>0</v>
      </c>
      <c r="K6" s="64">
        <f>'Epitome Archetype Guide'!BA17</f>
        <v>0</v>
      </c>
      <c r="L6" s="64">
        <f>'Epitome Archetype Guide'!BE17</f>
        <v>0</v>
      </c>
      <c r="M6" s="64">
        <f>'Epitome Archetype Guide'!BK17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Guide'!T17</f>
        <v>0</v>
      </c>
      <c r="C7" s="64">
        <f>'Epitome Archetype Guide'!X17</f>
        <v>0</v>
      </c>
      <c r="D7" s="64">
        <f>'Epitome Archetype Guide'!Z17</f>
        <v>0</v>
      </c>
      <c r="E7" s="64">
        <f>'Epitome Archetype Guide'!AE17</f>
        <v>0</v>
      </c>
      <c r="F7" s="64">
        <f>'Epitome Archetype Guide'!AH17</f>
        <v>0</v>
      </c>
      <c r="G7" s="64">
        <f>'Epitome Archetype Guide'!AK17</f>
        <v>0</v>
      </c>
      <c r="H7" s="64">
        <f>'Epitome Archetype Guide'!AP17</f>
        <v>0</v>
      </c>
      <c r="I7" s="64">
        <f>'Epitome Archetype Guide'!AV17</f>
        <v>0</v>
      </c>
      <c r="J7" s="64">
        <f>'Epitome Archetype Guide'!AY17</f>
        <v>0</v>
      </c>
      <c r="K7" s="64">
        <f>'Epitome Archetype Guide'!BD17</f>
        <v>0</v>
      </c>
      <c r="L7" s="64">
        <f>'Epitome Archetype Guide'!BG17</f>
        <v>0</v>
      </c>
      <c r="M7" s="64">
        <f>'Epitome Archetype Guide'!BI17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Guide'!Q17</f>
        <v>0</v>
      </c>
      <c r="C8" s="64">
        <f>'Epitome Archetype Guide'!W17</f>
        <v>0</v>
      </c>
      <c r="D8" s="64">
        <f>'Epitome Archetype Guide'!AB17</f>
        <v>0</v>
      </c>
      <c r="E8" s="64">
        <f>'Epitome Archetype Guide'!AF17</f>
        <v>0</v>
      </c>
      <c r="F8" s="64">
        <f>'Epitome Archetype Guide'!AI17</f>
        <v>0</v>
      </c>
      <c r="G8" s="64">
        <f>'Epitome Archetype Guide'!AN17</f>
        <v>0</v>
      </c>
      <c r="H8" s="64">
        <f>'Epitome Archetype Guide'!AQ17</f>
        <v>0</v>
      </c>
      <c r="I8" s="64">
        <f>'Epitome Archetype Guide'!AU17</f>
        <v>0</v>
      </c>
      <c r="J8" s="64">
        <f>'Epitome Archetype Guide'!AW17</f>
        <v>0</v>
      </c>
      <c r="K8" s="64">
        <f>'Epitome Archetype Guide'!BB17</f>
        <v>0</v>
      </c>
      <c r="L8" s="64">
        <f>'Epitome Archetype Guide'!BH17</f>
        <v>0</v>
      </c>
      <c r="M8" s="64">
        <f>'Epitome Archetype Guide'!BJ17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1.7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1.7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94" priority="8" operator="containsText" text="Empress">
      <formula>NOT(ISERROR(SEARCH(("Empress"),(B2))))</formula>
    </cfRule>
    <cfRule type="containsText" dxfId="93" priority="9" operator="containsText" text="Seductress">
      <formula>NOT(ISERROR(SEARCH(("Seductress"),(B2))))</formula>
    </cfRule>
    <cfRule type="containsText" dxfId="92" priority="10" operator="containsText" text="Consort">
      <formula>NOT(ISERROR(SEARCH(("Consort"),(B2))))</formula>
    </cfRule>
    <cfRule type="containsText" dxfId="91" priority="11" operator="containsText" text="Sovereign">
      <formula>NOT(ISERROR(SEARCH(("Sovereign"),(B2))))</formula>
    </cfRule>
  </conditionalFormatting>
  <conditionalFormatting sqref="B13:K17">
    <cfRule type="cellIs" dxfId="90" priority="7" operator="equal">
      <formula>4</formula>
    </cfRule>
  </conditionalFormatting>
  <conditionalFormatting sqref="C51:C62">
    <cfRule type="containsText" dxfId="89" priority="2" operator="containsText" text="Seductress">
      <formula>NOT(ISERROR(SEARCH(("Seductress"),(C51))))</formula>
    </cfRule>
    <cfRule type="containsText" dxfId="88" priority="3" operator="containsText" text="Consort">
      <formula>NOT(ISERROR(SEARCH(("Consort"),(C51))))</formula>
    </cfRule>
    <cfRule type="containsText" dxfId="87" priority="4" operator="containsText" text="Sovereign">
      <formula>NOT(ISERROR(SEARCH(("Sovereign"),(C51))))</formula>
    </cfRule>
    <cfRule type="containsText" dxfId="86" priority="5" operator="containsText" text="Empress">
      <formula>NOT(ISERROR(SEARCH(("Empress"),(C51))))</formula>
    </cfRule>
  </conditionalFormatting>
  <conditionalFormatting sqref="C61:C62">
    <cfRule type="containsText" dxfId="85" priority="1" operator="containsText" text="Seductress">
      <formula>NOT(ISERROR(SEARCH(("Seductress"),(C61))))</formula>
    </cfRule>
  </conditionalFormatting>
  <conditionalFormatting sqref="L5:M8 B5:K9 L13:M16">
    <cfRule type="cellIs" dxfId="84" priority="6" operator="equal">
      <formula>1</formula>
    </cfRule>
  </conditionalFormatting>
  <conditionalFormatting sqref="N5">
    <cfRule type="expression" dxfId="83" priority="12">
      <formula>AND(N5 = MIN($N5:$N8))</formula>
    </cfRule>
  </conditionalFormatting>
  <conditionalFormatting sqref="N6">
    <cfRule type="expression" dxfId="82" priority="13">
      <formula>AND(N6 = MIN($N5:$N8))</formula>
    </cfRule>
  </conditionalFormatting>
  <conditionalFormatting sqref="N7">
    <cfRule type="expression" dxfId="81" priority="14">
      <formula>AND(N7 = MIN($N5:$N8))</formula>
    </cfRule>
  </conditionalFormatting>
  <conditionalFormatting sqref="N8">
    <cfRule type="expression" dxfId="80" priority="15">
      <formula>AND(N8 = MIN($N5:$N8))</formula>
    </cfRule>
  </conditionalFormatting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Guide'!M18</f>
        <v>0</v>
      </c>
      <c r="B1" s="77">
        <f>'Epitome Archetype Guide'!N18</f>
        <v>0</v>
      </c>
      <c r="C1" s="2" t="s">
        <v>241</v>
      </c>
      <c r="D1" s="78">
        <f>'Epitome Archetype Guide'!P18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Analysis!I18</f>
        <v>0</v>
      </c>
      <c r="C2" s="60" t="b">
        <f>Analysis!J18</f>
        <v>0</v>
      </c>
      <c r="D2" s="60" t="b">
        <f>Analysis!K18</f>
        <v>0</v>
      </c>
      <c r="E2" s="60" t="b">
        <f>Analysis!L18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Guide'!S13</f>
        <v>0</v>
      </c>
      <c r="C5" s="64">
        <f>'Epitome Archetype Guide'!U13</f>
        <v>0</v>
      </c>
      <c r="D5" s="64">
        <f>'Epitome Archetype Guide'!Y13</f>
        <v>0</v>
      </c>
      <c r="E5" s="64">
        <f>'Epitome Archetype Guide'!AD13</f>
        <v>0</v>
      </c>
      <c r="F5" s="64">
        <f>'Epitome Archetype Guide'!AJ13</f>
        <v>0</v>
      </c>
      <c r="G5" s="64">
        <f>'Epitome Archetype Guide'!AM13</f>
        <v>0</v>
      </c>
      <c r="H5" s="64">
        <f>'Epitome Archetype Guide'!AO13</f>
        <v>0</v>
      </c>
      <c r="I5" s="64">
        <f>'Epitome Archetype Guide'!AT13</f>
        <v>0</v>
      </c>
      <c r="J5" s="64">
        <f>'Epitome Archetype Guide'!AZ13</f>
        <v>0</v>
      </c>
      <c r="K5" s="64">
        <f>'Epitome Archetype Guide'!BC13</f>
        <v>0</v>
      </c>
      <c r="L5" s="64">
        <f>'Epitome Archetype Guide'!BF18</f>
        <v>0</v>
      </c>
      <c r="M5" s="64">
        <f>'Epitome Archetype Guide'!BL18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Guide'!R13</f>
        <v>0</v>
      </c>
      <c r="C6" s="64">
        <f>'Epitome Archetype Guide'!V13</f>
        <v>0</v>
      </c>
      <c r="D6" s="64">
        <f>'Epitome Archetype Guide'!AA13</f>
        <v>0</v>
      </c>
      <c r="E6" s="64">
        <f>'Epitome Archetype Guide'!AC13</f>
        <v>0</v>
      </c>
      <c r="F6" s="64">
        <f>'Epitome Archetype Guide'!AG13</f>
        <v>0</v>
      </c>
      <c r="G6" s="64">
        <f>'Epitome Archetype Guide'!AL13</f>
        <v>0</v>
      </c>
      <c r="H6" s="64">
        <f>'Epitome Archetype Guide'!AR13</f>
        <v>0</v>
      </c>
      <c r="I6" s="64">
        <f>'Epitome Archetype Guide'!AS13</f>
        <v>0</v>
      </c>
      <c r="J6" s="64">
        <f>'Epitome Archetype Guide'!AX13</f>
        <v>0</v>
      </c>
      <c r="K6" s="64">
        <f>'Epitome Archetype Guide'!BA13</f>
        <v>0</v>
      </c>
      <c r="L6" s="64">
        <f>'Epitome Archetype Guide'!BE18</f>
        <v>0</v>
      </c>
      <c r="M6" s="64">
        <f>'Epitome Archetype Guide'!BK18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Guide'!T13</f>
        <v>0</v>
      </c>
      <c r="C7" s="64">
        <f>'Epitome Archetype Guide'!X13</f>
        <v>0</v>
      </c>
      <c r="D7" s="64">
        <f>'Epitome Archetype Guide'!Z13</f>
        <v>0</v>
      </c>
      <c r="E7" s="64">
        <f>'Epitome Archetype Guide'!AE13</f>
        <v>0</v>
      </c>
      <c r="F7" s="64">
        <f>'Epitome Archetype Guide'!AH13</f>
        <v>0</v>
      </c>
      <c r="G7" s="64">
        <f>'Epitome Archetype Guide'!AK13</f>
        <v>0</v>
      </c>
      <c r="H7" s="64">
        <f>'Epitome Archetype Guide'!AP13</f>
        <v>0</v>
      </c>
      <c r="I7" s="64">
        <f>'Epitome Archetype Guide'!AV13</f>
        <v>0</v>
      </c>
      <c r="J7" s="64">
        <f>'Epitome Archetype Guide'!AY13</f>
        <v>0</v>
      </c>
      <c r="K7" s="64">
        <f>'Epitome Archetype Guide'!BD13</f>
        <v>0</v>
      </c>
      <c r="L7" s="64">
        <f>'Epitome Archetype Guide'!BG18</f>
        <v>0</v>
      </c>
      <c r="M7" s="64">
        <f>'Epitome Archetype Guide'!BI18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Guide'!Q13</f>
        <v>0</v>
      </c>
      <c r="C8" s="64">
        <f>'Epitome Archetype Guide'!W13</f>
        <v>0</v>
      </c>
      <c r="D8" s="64">
        <f>'Epitome Archetype Guide'!AB13</f>
        <v>0</v>
      </c>
      <c r="E8" s="64">
        <f>'Epitome Archetype Guide'!AF13</f>
        <v>0</v>
      </c>
      <c r="F8" s="64">
        <f>'Epitome Archetype Guide'!AI13</f>
        <v>0</v>
      </c>
      <c r="G8" s="64">
        <f>'Epitome Archetype Guide'!AN13</f>
        <v>0</v>
      </c>
      <c r="H8" s="64">
        <f>'Epitome Archetype Guide'!AQ13</f>
        <v>0</v>
      </c>
      <c r="I8" s="64">
        <f>'Epitome Archetype Guide'!AU13</f>
        <v>0</v>
      </c>
      <c r="J8" s="64">
        <f>'Epitome Archetype Guide'!AW13</f>
        <v>0</v>
      </c>
      <c r="K8" s="64">
        <f>'Epitome Archetype Guide'!BB13</f>
        <v>0</v>
      </c>
      <c r="L8" s="64">
        <f>'Epitome Archetype Guide'!BH18</f>
        <v>0</v>
      </c>
      <c r="M8" s="64">
        <f>'Epitome Archetype Guide'!BJ18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4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4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79" priority="8" operator="containsText" text="Empress">
      <formula>NOT(ISERROR(SEARCH(("Empress"),(B2))))</formula>
    </cfRule>
    <cfRule type="containsText" dxfId="78" priority="9" operator="containsText" text="Seductress">
      <formula>NOT(ISERROR(SEARCH(("Seductress"),(B2))))</formula>
    </cfRule>
    <cfRule type="containsText" dxfId="77" priority="10" operator="containsText" text="Consort">
      <formula>NOT(ISERROR(SEARCH(("Consort"),(B2))))</formula>
    </cfRule>
    <cfRule type="containsText" dxfId="76" priority="11" operator="containsText" text="Sovereign">
      <formula>NOT(ISERROR(SEARCH(("Sovereign"),(B2))))</formula>
    </cfRule>
  </conditionalFormatting>
  <conditionalFormatting sqref="B13:K17">
    <cfRule type="cellIs" dxfId="75" priority="7" operator="equal">
      <formula>4</formula>
    </cfRule>
  </conditionalFormatting>
  <conditionalFormatting sqref="C51:C62">
    <cfRule type="containsText" dxfId="74" priority="2" operator="containsText" text="Seductress">
      <formula>NOT(ISERROR(SEARCH(("Seductress"),(C51))))</formula>
    </cfRule>
    <cfRule type="containsText" dxfId="73" priority="3" operator="containsText" text="Consort">
      <formula>NOT(ISERROR(SEARCH(("Consort"),(C51))))</formula>
    </cfRule>
    <cfRule type="containsText" dxfId="72" priority="4" operator="containsText" text="Sovereign">
      <formula>NOT(ISERROR(SEARCH(("Sovereign"),(C51))))</formula>
    </cfRule>
    <cfRule type="containsText" dxfId="71" priority="5" operator="containsText" text="Empress">
      <formula>NOT(ISERROR(SEARCH(("Empress"),(C51))))</formula>
    </cfRule>
  </conditionalFormatting>
  <conditionalFormatting sqref="C61:C62">
    <cfRule type="containsText" dxfId="70" priority="1" operator="containsText" text="Seductress">
      <formula>NOT(ISERROR(SEARCH(("Seductress"),(C61))))</formula>
    </cfRule>
  </conditionalFormatting>
  <conditionalFormatting sqref="L5:M8 B5:K9 L13:M16">
    <cfRule type="cellIs" dxfId="69" priority="6" operator="equal">
      <formula>1</formula>
    </cfRule>
  </conditionalFormatting>
  <conditionalFormatting sqref="N5">
    <cfRule type="expression" dxfId="68" priority="12">
      <formula>AND(N5 = MIN($N5:$N8))</formula>
    </cfRule>
  </conditionalFormatting>
  <conditionalFormatting sqref="N6">
    <cfRule type="expression" dxfId="67" priority="13">
      <formula>AND(N6 = MIN($N5:$N8))</formula>
    </cfRule>
  </conditionalFormatting>
  <conditionalFormatting sqref="N7">
    <cfRule type="expression" dxfId="66" priority="14">
      <formula>AND(N7 = MIN($N5:$N8))</formula>
    </cfRule>
  </conditionalFormatting>
  <conditionalFormatting sqref="N8">
    <cfRule type="expression" dxfId="65" priority="15">
      <formula>AND(N8 = MIN($N5:$N8))</formula>
    </cfRule>
  </conditionalFormatting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Guide'!M19</f>
        <v>0</v>
      </c>
      <c r="B1" s="77">
        <f>'Epitome Archetype Guide'!N19</f>
        <v>0</v>
      </c>
      <c r="C1" s="2" t="s">
        <v>241</v>
      </c>
      <c r="D1" s="78">
        <f>'Epitome Archetype Guide'!P19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Analysis!I19</f>
        <v>0</v>
      </c>
      <c r="C2" s="60" t="b">
        <f>Analysis!J19</f>
        <v>0</v>
      </c>
      <c r="D2" s="60" t="b">
        <f>Analysis!K19</f>
        <v>0</v>
      </c>
      <c r="E2" s="60" t="b">
        <f>Analysis!L19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Guide'!S19</f>
        <v>0</v>
      </c>
      <c r="C5" s="64">
        <f>'Epitome Archetype Guide'!U19</f>
        <v>0</v>
      </c>
      <c r="D5" s="64">
        <f>'Epitome Archetype Guide'!Y19</f>
        <v>0</v>
      </c>
      <c r="E5" s="64">
        <f>'Epitome Archetype Guide'!AD19</f>
        <v>0</v>
      </c>
      <c r="F5" s="64">
        <f>'Epitome Archetype Guide'!AJ19</f>
        <v>0</v>
      </c>
      <c r="G5" s="64">
        <f>'Epitome Archetype Guide'!AM19</f>
        <v>0</v>
      </c>
      <c r="H5" s="64">
        <f>'Epitome Archetype Guide'!AO19</f>
        <v>0</v>
      </c>
      <c r="I5" s="64">
        <f>'Epitome Archetype Guide'!AT19</f>
        <v>0</v>
      </c>
      <c r="J5" s="64">
        <f>'Epitome Archetype Guide'!AZ19</f>
        <v>0</v>
      </c>
      <c r="K5" s="64">
        <f>'Epitome Archetype Guide'!BC19</f>
        <v>0</v>
      </c>
      <c r="L5" s="64">
        <f>'Epitome Archetype Guide'!BF19</f>
        <v>0</v>
      </c>
      <c r="M5" s="64">
        <f>'Epitome Archetype Guide'!BL19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Guide'!R19</f>
        <v>0</v>
      </c>
      <c r="C6" s="64">
        <f>'Epitome Archetype Guide'!V19</f>
        <v>0</v>
      </c>
      <c r="D6" s="64">
        <f>'Epitome Archetype Guide'!AA19</f>
        <v>0</v>
      </c>
      <c r="E6" s="64">
        <f>'Epitome Archetype Guide'!AC19</f>
        <v>0</v>
      </c>
      <c r="F6" s="64">
        <f>'Epitome Archetype Guide'!AG19</f>
        <v>0</v>
      </c>
      <c r="G6" s="64">
        <f>'Epitome Archetype Guide'!AL19</f>
        <v>0</v>
      </c>
      <c r="H6" s="64">
        <f>'Epitome Archetype Guide'!AR19</f>
        <v>0</v>
      </c>
      <c r="I6" s="64">
        <f>'Epitome Archetype Guide'!AS19</f>
        <v>0</v>
      </c>
      <c r="J6" s="64">
        <f>'Epitome Archetype Guide'!AX19</f>
        <v>0</v>
      </c>
      <c r="K6" s="64">
        <f>'Epitome Archetype Guide'!BA19</f>
        <v>0</v>
      </c>
      <c r="L6" s="64">
        <f>'Epitome Archetype Guide'!BE19</f>
        <v>0</v>
      </c>
      <c r="M6" s="64">
        <f>'Epitome Archetype Guide'!BK19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Guide'!T19</f>
        <v>0</v>
      </c>
      <c r="C7" s="64">
        <f>'Epitome Archetype Guide'!X19</f>
        <v>0</v>
      </c>
      <c r="D7" s="64">
        <f>'Epitome Archetype Guide'!Z19</f>
        <v>0</v>
      </c>
      <c r="E7" s="64">
        <f>'Epitome Archetype Guide'!AE19</f>
        <v>0</v>
      </c>
      <c r="F7" s="64">
        <f>'Epitome Archetype Guide'!AH19</f>
        <v>0</v>
      </c>
      <c r="G7" s="64">
        <f>'Epitome Archetype Guide'!AK19</f>
        <v>0</v>
      </c>
      <c r="H7" s="64">
        <f>'Epitome Archetype Guide'!AP19</f>
        <v>0</v>
      </c>
      <c r="I7" s="64">
        <f>'Epitome Archetype Guide'!AV19</f>
        <v>0</v>
      </c>
      <c r="J7" s="64">
        <f>'Epitome Archetype Guide'!AY19</f>
        <v>0</v>
      </c>
      <c r="K7" s="64">
        <f>'Epitome Archetype Guide'!BD19</f>
        <v>0</v>
      </c>
      <c r="L7" s="64">
        <f>'Epitome Archetype Guide'!BG19</f>
        <v>0</v>
      </c>
      <c r="M7" s="64">
        <f>'Epitome Archetype Guide'!BI19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Guide'!Q19</f>
        <v>0</v>
      </c>
      <c r="C8" s="64">
        <f>'Epitome Archetype Guide'!W19</f>
        <v>0</v>
      </c>
      <c r="D8" s="64">
        <f>'Epitome Archetype Guide'!AB19</f>
        <v>0</v>
      </c>
      <c r="E8" s="64">
        <f>'Epitome Archetype Guide'!AF19</f>
        <v>0</v>
      </c>
      <c r="F8" s="64">
        <f>'Epitome Archetype Guide'!AI19</f>
        <v>0</v>
      </c>
      <c r="G8" s="64">
        <f>'Epitome Archetype Guide'!AN19</f>
        <v>0</v>
      </c>
      <c r="H8" s="64">
        <f>'Epitome Archetype Guide'!AQ19</f>
        <v>0</v>
      </c>
      <c r="I8" s="64">
        <f>'Epitome Archetype Guide'!AU19</f>
        <v>0</v>
      </c>
      <c r="J8" s="64">
        <f>'Epitome Archetype Guide'!AW19</f>
        <v>0</v>
      </c>
      <c r="K8" s="64">
        <f>'Epitome Archetype Guide'!BB19</f>
        <v>0</v>
      </c>
      <c r="L8" s="64">
        <f>'Epitome Archetype Guide'!BH19</f>
        <v>0</v>
      </c>
      <c r="M8" s="64">
        <f>'Epitome Archetype Guide'!BJ19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4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2.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64" priority="8" operator="containsText" text="Empress">
      <formula>NOT(ISERROR(SEARCH(("Empress"),(B2))))</formula>
    </cfRule>
    <cfRule type="containsText" dxfId="63" priority="9" operator="containsText" text="Seductress">
      <formula>NOT(ISERROR(SEARCH(("Seductress"),(B2))))</formula>
    </cfRule>
    <cfRule type="containsText" dxfId="62" priority="10" operator="containsText" text="Consort">
      <formula>NOT(ISERROR(SEARCH(("Consort"),(B2))))</formula>
    </cfRule>
    <cfRule type="containsText" dxfId="61" priority="11" operator="containsText" text="Sovereign">
      <formula>NOT(ISERROR(SEARCH(("Sovereign"),(B2))))</formula>
    </cfRule>
  </conditionalFormatting>
  <conditionalFormatting sqref="B13:K17">
    <cfRule type="cellIs" dxfId="60" priority="7" operator="equal">
      <formula>4</formula>
    </cfRule>
  </conditionalFormatting>
  <conditionalFormatting sqref="C51:C62">
    <cfRule type="containsText" dxfId="59" priority="2" operator="containsText" text="Seductress">
      <formula>NOT(ISERROR(SEARCH(("Seductress"),(C51))))</formula>
    </cfRule>
    <cfRule type="containsText" dxfId="58" priority="3" operator="containsText" text="Consort">
      <formula>NOT(ISERROR(SEARCH(("Consort"),(C51))))</formula>
    </cfRule>
    <cfRule type="containsText" dxfId="57" priority="4" operator="containsText" text="Sovereign">
      <formula>NOT(ISERROR(SEARCH(("Sovereign"),(C51))))</formula>
    </cfRule>
    <cfRule type="containsText" dxfId="56" priority="5" operator="containsText" text="Empress">
      <formula>NOT(ISERROR(SEARCH(("Empress"),(C51))))</formula>
    </cfRule>
  </conditionalFormatting>
  <conditionalFormatting sqref="C61:C62">
    <cfRule type="containsText" dxfId="55" priority="1" operator="containsText" text="Seductress">
      <formula>NOT(ISERROR(SEARCH(("Seductress"),(C61))))</formula>
    </cfRule>
  </conditionalFormatting>
  <conditionalFormatting sqref="L5:M8 B5:K9 L13:M16">
    <cfRule type="cellIs" dxfId="54" priority="6" operator="equal">
      <formula>1</formula>
    </cfRule>
  </conditionalFormatting>
  <conditionalFormatting sqref="N5">
    <cfRule type="expression" dxfId="53" priority="12">
      <formula>AND(N5 = MIN($N5:$N8))</formula>
    </cfRule>
  </conditionalFormatting>
  <conditionalFormatting sqref="N6">
    <cfRule type="expression" dxfId="52" priority="13">
      <formula>AND(N6 = MIN($N5:$N8))</formula>
    </cfRule>
  </conditionalFormatting>
  <conditionalFormatting sqref="N7">
    <cfRule type="expression" dxfId="51" priority="14">
      <formula>AND(N7 = MIN($N5:$N8))</formula>
    </cfRule>
  </conditionalFormatting>
  <conditionalFormatting sqref="N8">
    <cfRule type="expression" dxfId="50" priority="15">
      <formula>AND(N8 = MIN($N5:$N8))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Guide'!M20</f>
        <v>0</v>
      </c>
      <c r="B1" s="77">
        <f>'Epitome Archetype Guide'!N20</f>
        <v>0</v>
      </c>
      <c r="C1" s="2" t="s">
        <v>241</v>
      </c>
      <c r="D1" s="78">
        <f>'Epitome Archetype Guide'!P20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Analysis!I20</f>
        <v>0</v>
      </c>
      <c r="C2" s="60" t="b">
        <f>Analysis!J20</f>
        <v>0</v>
      </c>
      <c r="D2" s="60" t="b">
        <f>Analysis!K20</f>
        <v>0</v>
      </c>
      <c r="E2" s="60" t="b">
        <f>Analysis!L20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Guide'!S20</f>
        <v>0</v>
      </c>
      <c r="C5" s="64">
        <f>'Epitome Archetype Guide'!U20</f>
        <v>0</v>
      </c>
      <c r="D5" s="64">
        <f>'Epitome Archetype Guide'!Y20</f>
        <v>0</v>
      </c>
      <c r="E5" s="64">
        <f>'Epitome Archetype Guide'!AD20</f>
        <v>0</v>
      </c>
      <c r="F5" s="64">
        <f>'Epitome Archetype Guide'!AJ20</f>
        <v>0</v>
      </c>
      <c r="G5" s="64">
        <f>'Epitome Archetype Guide'!AM20</f>
        <v>0</v>
      </c>
      <c r="H5" s="64">
        <f>'Epitome Archetype Guide'!AO20</f>
        <v>0</v>
      </c>
      <c r="I5" s="64">
        <f>'Epitome Archetype Guide'!AT20</f>
        <v>0</v>
      </c>
      <c r="J5" s="64">
        <f>'Epitome Archetype Guide'!AZ20</f>
        <v>0</v>
      </c>
      <c r="K5" s="64">
        <f>'Epitome Archetype Guide'!BC20</f>
        <v>0</v>
      </c>
      <c r="L5" s="64">
        <f>'Epitome Archetype Guide'!BF20</f>
        <v>0</v>
      </c>
      <c r="M5" s="64">
        <f>'Epitome Archetype Guide'!BL20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Guide'!R20</f>
        <v>0</v>
      </c>
      <c r="C6" s="64">
        <f>'Epitome Archetype Guide'!V20</f>
        <v>0</v>
      </c>
      <c r="D6" s="64">
        <f>'Epitome Archetype Guide'!AA20</f>
        <v>0</v>
      </c>
      <c r="E6" s="64">
        <f>'Epitome Archetype Guide'!AC20</f>
        <v>0</v>
      </c>
      <c r="F6" s="64">
        <f>'Epitome Archetype Guide'!AG20</f>
        <v>0</v>
      </c>
      <c r="G6" s="64">
        <f>'Epitome Archetype Guide'!AL20</f>
        <v>0</v>
      </c>
      <c r="H6" s="64">
        <f>'Epitome Archetype Guide'!AR20</f>
        <v>0</v>
      </c>
      <c r="I6" s="64">
        <f>'Epitome Archetype Guide'!AS20</f>
        <v>0</v>
      </c>
      <c r="J6" s="64">
        <f>'Epitome Archetype Guide'!AX20</f>
        <v>0</v>
      </c>
      <c r="K6" s="64">
        <f>'Epitome Archetype Guide'!BA20</f>
        <v>0</v>
      </c>
      <c r="L6" s="64">
        <f>'Epitome Archetype Guide'!BE20</f>
        <v>0</v>
      </c>
      <c r="M6" s="64">
        <f>'Epitome Archetype Guide'!BK20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Guide'!T20</f>
        <v>0</v>
      </c>
      <c r="C7" s="64">
        <f>'Epitome Archetype Guide'!X20</f>
        <v>0</v>
      </c>
      <c r="D7" s="64">
        <f>'Epitome Archetype Guide'!Z20</f>
        <v>0</v>
      </c>
      <c r="E7" s="64">
        <f>'Epitome Archetype Guide'!AE20</f>
        <v>0</v>
      </c>
      <c r="F7" s="64">
        <f>'Epitome Archetype Guide'!AH20</f>
        <v>0</v>
      </c>
      <c r="G7" s="64">
        <f>'Epitome Archetype Guide'!AK20</f>
        <v>0</v>
      </c>
      <c r="H7" s="64">
        <f>'Epitome Archetype Guide'!AP20</f>
        <v>0</v>
      </c>
      <c r="I7" s="64">
        <f>'Epitome Archetype Guide'!AV20</f>
        <v>0</v>
      </c>
      <c r="J7" s="64">
        <f>'Epitome Archetype Guide'!AY20</f>
        <v>0</v>
      </c>
      <c r="K7" s="64">
        <f>'Epitome Archetype Guide'!BD20</f>
        <v>0</v>
      </c>
      <c r="L7" s="64">
        <f>'Epitome Archetype Guide'!BG20</f>
        <v>0</v>
      </c>
      <c r="M7" s="64">
        <f>'Epitome Archetype Guide'!BI20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Guide'!Q20</f>
        <v>0</v>
      </c>
      <c r="C8" s="64">
        <f>'Epitome Archetype Guide'!W20</f>
        <v>0</v>
      </c>
      <c r="D8" s="64">
        <f>'Epitome Archetype Guide'!AB20</f>
        <v>0</v>
      </c>
      <c r="E8" s="64">
        <f>'Epitome Archetype Guide'!AF20</f>
        <v>0</v>
      </c>
      <c r="F8" s="64">
        <f>'Epitome Archetype Guide'!AI20</f>
        <v>0</v>
      </c>
      <c r="G8" s="64">
        <f>'Epitome Archetype Guide'!AN20</f>
        <v>0</v>
      </c>
      <c r="H8" s="64">
        <f>'Epitome Archetype Guide'!AQ20</f>
        <v>0</v>
      </c>
      <c r="I8" s="64">
        <f>'Epitome Archetype Guide'!AU20</f>
        <v>0</v>
      </c>
      <c r="J8" s="64">
        <f>'Epitome Archetype Guide'!AW20</f>
        <v>0</v>
      </c>
      <c r="K8" s="64">
        <f>'Epitome Archetype Guide'!BB20</f>
        <v>0</v>
      </c>
      <c r="L8" s="64">
        <f>'Epitome Archetype Guide'!BH20</f>
        <v>0</v>
      </c>
      <c r="M8" s="64">
        <f>'Epitome Archetype Guide'!BJ20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2.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3.25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49" priority="8" operator="containsText" text="Empress">
      <formula>NOT(ISERROR(SEARCH(("Empress"),(B2))))</formula>
    </cfRule>
    <cfRule type="containsText" dxfId="48" priority="9" operator="containsText" text="Seductress">
      <formula>NOT(ISERROR(SEARCH(("Seductress"),(B2))))</formula>
    </cfRule>
    <cfRule type="containsText" dxfId="47" priority="10" operator="containsText" text="Consort">
      <formula>NOT(ISERROR(SEARCH(("Consort"),(B2))))</formula>
    </cfRule>
    <cfRule type="containsText" dxfId="46" priority="11" operator="containsText" text="Sovereign">
      <formula>NOT(ISERROR(SEARCH(("Sovereign"),(B2))))</formula>
    </cfRule>
  </conditionalFormatting>
  <conditionalFormatting sqref="B13:K17">
    <cfRule type="cellIs" dxfId="45" priority="7" operator="equal">
      <formula>4</formula>
    </cfRule>
  </conditionalFormatting>
  <conditionalFormatting sqref="C51:C62">
    <cfRule type="containsText" dxfId="44" priority="2" operator="containsText" text="Seductress">
      <formula>NOT(ISERROR(SEARCH(("Seductress"),(C51))))</formula>
    </cfRule>
    <cfRule type="containsText" dxfId="43" priority="3" operator="containsText" text="Consort">
      <formula>NOT(ISERROR(SEARCH(("Consort"),(C51))))</formula>
    </cfRule>
    <cfRule type="containsText" dxfId="42" priority="4" operator="containsText" text="Sovereign">
      <formula>NOT(ISERROR(SEARCH(("Sovereign"),(C51))))</formula>
    </cfRule>
    <cfRule type="containsText" dxfId="41" priority="5" operator="containsText" text="Empress">
      <formula>NOT(ISERROR(SEARCH(("Empress"),(C51))))</formula>
    </cfRule>
  </conditionalFormatting>
  <conditionalFormatting sqref="C61:C62">
    <cfRule type="containsText" dxfId="40" priority="1" operator="containsText" text="Seductress">
      <formula>NOT(ISERROR(SEARCH(("Seductress"),(C61))))</formula>
    </cfRule>
  </conditionalFormatting>
  <conditionalFormatting sqref="L5:M8 B5:K9 L13:M16">
    <cfRule type="cellIs" dxfId="39" priority="6" operator="equal">
      <formula>1</formula>
    </cfRule>
  </conditionalFormatting>
  <conditionalFormatting sqref="N5">
    <cfRule type="expression" dxfId="38" priority="12">
      <formula>AND(N5 = MIN($N5:$N8))</formula>
    </cfRule>
  </conditionalFormatting>
  <conditionalFormatting sqref="N6">
    <cfRule type="expression" dxfId="37" priority="13">
      <formula>AND(N6 = MIN($N5:$N8))</formula>
    </cfRule>
  </conditionalFormatting>
  <conditionalFormatting sqref="N7">
    <cfRule type="expression" dxfId="36" priority="14">
      <formula>AND(N7 = MIN($N5:$N8))</formula>
    </cfRule>
  </conditionalFormatting>
  <conditionalFormatting sqref="N8">
    <cfRule type="expression" dxfId="35" priority="15">
      <formula>AND(N8 = MIN($N5:$N8))</formula>
    </cfRule>
  </conditionalFormatting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N62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21.33203125" customWidth="1"/>
    <col min="4" max="4" width="14.5" customWidth="1"/>
    <col min="5" max="5" width="14.1640625" customWidth="1"/>
    <col min="6" max="6" width="19.33203125" customWidth="1"/>
    <col min="7" max="7" width="15.1640625" customWidth="1"/>
    <col min="8" max="8" width="14.6640625" customWidth="1"/>
    <col min="9" max="9" width="18.33203125" customWidth="1"/>
    <col min="10" max="10" width="15.1640625" customWidth="1"/>
    <col min="11" max="11" width="16.1640625" customWidth="1"/>
  </cols>
  <sheetData>
    <row r="1" spans="1:14" ht="19" x14ac:dyDescent="0.25">
      <c r="A1" s="77">
        <f>'Epitome Archetype Guide'!M21</f>
        <v>0</v>
      </c>
      <c r="B1" s="77">
        <f>'Epitome Archetype Guide'!N21</f>
        <v>0</v>
      </c>
      <c r="C1" s="2" t="s">
        <v>241</v>
      </c>
      <c r="D1" s="78">
        <f>'Epitome Archetype Guide'!P21</f>
        <v>0</v>
      </c>
      <c r="F1" s="79"/>
      <c r="G1" s="79"/>
      <c r="H1" s="79"/>
      <c r="I1" s="79"/>
      <c r="J1" s="79"/>
      <c r="K1" s="79"/>
      <c r="L1" s="79"/>
      <c r="M1" s="79"/>
      <c r="N1" s="79"/>
    </row>
    <row r="2" spans="1:14" ht="16" x14ac:dyDescent="0.2">
      <c r="A2" s="80" t="s">
        <v>242</v>
      </c>
      <c r="B2" s="60" t="b">
        <f>Analysis!I13</f>
        <v>0</v>
      </c>
      <c r="C2" s="60" t="b">
        <f>Analysis!J13</f>
        <v>0</v>
      </c>
      <c r="D2" s="60" t="b">
        <f>Analysis!K13</f>
        <v>0</v>
      </c>
      <c r="E2" s="60" t="b">
        <f>Analysis!L21</f>
        <v>0</v>
      </c>
      <c r="F2" s="81"/>
      <c r="G2" s="81"/>
      <c r="H2" s="81"/>
      <c r="I2" s="81"/>
      <c r="J2" s="81"/>
      <c r="K2" s="81"/>
      <c r="L2" s="63"/>
      <c r="M2" s="63"/>
      <c r="N2" s="63"/>
    </row>
    <row r="3" spans="1:14" ht="15" x14ac:dyDescent="0.2"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  <c r="M3" s="63"/>
      <c r="N3" s="63"/>
    </row>
    <row r="4" spans="1:14" ht="15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81" t="str">
        <f>Reference!A20</f>
        <v>Power</v>
      </c>
      <c r="M4" s="81" t="str">
        <f>Reference!A21</f>
        <v>Ambition</v>
      </c>
      <c r="N4" s="82" t="s">
        <v>243</v>
      </c>
    </row>
    <row r="5" spans="1:14" ht="15" x14ac:dyDescent="0.2">
      <c r="A5" s="83" t="str">
        <f>Reference!A24</f>
        <v>Sovereign</v>
      </c>
      <c r="B5" s="64">
        <f>'Epitome Archetype Guide'!S21</f>
        <v>0</v>
      </c>
      <c r="C5" s="64">
        <f>'Epitome Archetype Guide'!U21</f>
        <v>0</v>
      </c>
      <c r="D5" s="64">
        <f>'Epitome Archetype Guide'!Y21</f>
        <v>0</v>
      </c>
      <c r="E5" s="64">
        <f>'Epitome Archetype Guide'!AD21</f>
        <v>0</v>
      </c>
      <c r="F5" s="64">
        <f>'Epitome Archetype Guide'!AJ21</f>
        <v>0</v>
      </c>
      <c r="G5" s="64">
        <f>'Epitome Archetype Guide'!AM21</f>
        <v>0</v>
      </c>
      <c r="H5" s="64">
        <f>'Epitome Archetype Guide'!AO21</f>
        <v>0</v>
      </c>
      <c r="I5" s="64">
        <f>'Epitome Archetype Guide'!AT21</f>
        <v>0</v>
      </c>
      <c r="J5" s="64">
        <f>'Epitome Archetype Guide'!AZ21</f>
        <v>0</v>
      </c>
      <c r="K5" s="64">
        <f>'Epitome Archetype Guide'!BC21</f>
        <v>0</v>
      </c>
      <c r="L5" s="64">
        <f>'Epitome Archetype Guide'!BF21</f>
        <v>0</v>
      </c>
      <c r="M5" s="64">
        <f>'Epitome Archetype Guide'!BL21</f>
        <v>0</v>
      </c>
      <c r="N5" s="84">
        <f t="shared" ref="N5:N8" si="0">SUM(B5:K5)</f>
        <v>0</v>
      </c>
    </row>
    <row r="6" spans="1:14" ht="15" x14ac:dyDescent="0.2">
      <c r="A6" s="85" t="str">
        <f>Reference!A25</f>
        <v>Empress</v>
      </c>
      <c r="B6" s="64">
        <f>'Epitome Archetype Guide'!R21</f>
        <v>0</v>
      </c>
      <c r="C6" s="64">
        <f>'Epitome Archetype Guide'!V21</f>
        <v>0</v>
      </c>
      <c r="D6" s="64">
        <f>'Epitome Archetype Guide'!AA21</f>
        <v>0</v>
      </c>
      <c r="E6" s="64">
        <f>'Epitome Archetype Guide'!AC21</f>
        <v>0</v>
      </c>
      <c r="F6" s="64">
        <f>'Epitome Archetype Guide'!AG21</f>
        <v>0</v>
      </c>
      <c r="G6" s="64">
        <f>'Epitome Archetype Guide'!AL21</f>
        <v>0</v>
      </c>
      <c r="H6" s="64">
        <f>'Epitome Archetype Guide'!AR21</f>
        <v>0</v>
      </c>
      <c r="I6" s="64">
        <f>'Epitome Archetype Guide'!AS21</f>
        <v>0</v>
      </c>
      <c r="J6" s="64">
        <f>'Epitome Archetype Guide'!AX21</f>
        <v>0</v>
      </c>
      <c r="K6" s="64">
        <f>'Epitome Archetype Guide'!BA21</f>
        <v>0</v>
      </c>
      <c r="L6" s="64">
        <f>'Epitome Archetype Guide'!BE21</f>
        <v>0</v>
      </c>
      <c r="M6" s="64">
        <f>'Epitome Archetype Guide'!BK21</f>
        <v>0</v>
      </c>
      <c r="N6" s="84">
        <f t="shared" si="0"/>
        <v>0</v>
      </c>
    </row>
    <row r="7" spans="1:14" ht="15" x14ac:dyDescent="0.2">
      <c r="A7" s="86" t="str">
        <f>Reference!A26</f>
        <v>Consort</v>
      </c>
      <c r="B7" s="64">
        <f>'Epitome Archetype Guide'!T21</f>
        <v>0</v>
      </c>
      <c r="C7" s="64">
        <f>'Epitome Archetype Guide'!X21</f>
        <v>0</v>
      </c>
      <c r="D7" s="64">
        <f>'Epitome Archetype Guide'!Z21</f>
        <v>0</v>
      </c>
      <c r="E7" s="64">
        <f>'Epitome Archetype Guide'!AE21</f>
        <v>0</v>
      </c>
      <c r="F7" s="64">
        <f>'Epitome Archetype Guide'!AH21</f>
        <v>0</v>
      </c>
      <c r="G7" s="64">
        <f>'Epitome Archetype Guide'!AK21</f>
        <v>0</v>
      </c>
      <c r="H7" s="64">
        <f>'Epitome Archetype Guide'!AP21</f>
        <v>0</v>
      </c>
      <c r="I7" s="64">
        <f>'Epitome Archetype Guide'!AV21</f>
        <v>0</v>
      </c>
      <c r="J7" s="64">
        <f>'Epitome Archetype Guide'!AY21</f>
        <v>0</v>
      </c>
      <c r="K7" s="64">
        <f>'Epitome Archetype Guide'!BD21</f>
        <v>0</v>
      </c>
      <c r="L7" s="64">
        <f>'Epitome Archetype Guide'!BG21</f>
        <v>0</v>
      </c>
      <c r="M7" s="64">
        <f>'Epitome Archetype Guide'!BI21</f>
        <v>0</v>
      </c>
      <c r="N7" s="84">
        <f t="shared" si="0"/>
        <v>0</v>
      </c>
    </row>
    <row r="8" spans="1:14" ht="15" x14ac:dyDescent="0.2">
      <c r="A8" s="87" t="str">
        <f>Reference!A27</f>
        <v>Seductress</v>
      </c>
      <c r="B8" s="64">
        <f>'Epitome Archetype Guide'!Q21</f>
        <v>0</v>
      </c>
      <c r="C8" s="64">
        <f>'Epitome Archetype Guide'!W21</f>
        <v>0</v>
      </c>
      <c r="D8" s="64">
        <f>'Epitome Archetype Guide'!AB21</f>
        <v>0</v>
      </c>
      <c r="E8" s="64">
        <f>'Epitome Archetype Guide'!AF21</f>
        <v>0</v>
      </c>
      <c r="F8" s="64">
        <f>'Epitome Archetype Guide'!AI21</f>
        <v>0</v>
      </c>
      <c r="G8" s="64">
        <f>'Epitome Archetype Guide'!AN21</f>
        <v>0</v>
      </c>
      <c r="H8" s="64">
        <f>'Epitome Archetype Guide'!AQ21</f>
        <v>0</v>
      </c>
      <c r="I8" s="64">
        <f>'Epitome Archetype Guide'!AU21</f>
        <v>0</v>
      </c>
      <c r="J8" s="64">
        <f>'Epitome Archetype Guide'!AW21</f>
        <v>0</v>
      </c>
      <c r="K8" s="64">
        <f>'Epitome Archetype Guide'!BB21</f>
        <v>0</v>
      </c>
      <c r="L8" s="64">
        <f>'Epitome Archetype Guide'!BH21</f>
        <v>0</v>
      </c>
      <c r="M8" s="64">
        <f>'Epitome Archetype Guide'!BJ21</f>
        <v>0</v>
      </c>
      <c r="N8" s="88">
        <f t="shared" si="0"/>
        <v>0</v>
      </c>
    </row>
    <row r="10" spans="1:14" ht="15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N10" s="79"/>
    </row>
    <row r="11" spans="1:14" ht="15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N11" s="79"/>
    </row>
    <row r="12" spans="1:14" ht="15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REPT(CHAR(160), 6) &amp; Reference!A14</f>
        <v>††††††Managing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81" t="str">
        <f>Reference!A20</f>
        <v>Power</v>
      </c>
      <c r="M12" s="81" t="str">
        <f>Reference!A21</f>
        <v>Ambition</v>
      </c>
      <c r="N12" s="63"/>
    </row>
    <row r="13" spans="1:14" ht="15" x14ac:dyDescent="0.2">
      <c r="A13" s="83" t="str">
        <f>Reference!A24</f>
        <v>Sovereign</v>
      </c>
      <c r="B13" s="64">
        <f t="shared" ref="B13:M13" si="1">5-B5</f>
        <v>5</v>
      </c>
      <c r="C13" s="64">
        <f t="shared" si="1"/>
        <v>5</v>
      </c>
      <c r="D13" s="64">
        <f t="shared" si="1"/>
        <v>5</v>
      </c>
      <c r="E13" s="64">
        <f t="shared" si="1"/>
        <v>5</v>
      </c>
      <c r="F13" s="64">
        <f t="shared" si="1"/>
        <v>5</v>
      </c>
      <c r="G13" s="64">
        <f t="shared" si="1"/>
        <v>5</v>
      </c>
      <c r="H13" s="64">
        <f t="shared" si="1"/>
        <v>5</v>
      </c>
      <c r="I13" s="64">
        <f t="shared" si="1"/>
        <v>5</v>
      </c>
      <c r="J13" s="64">
        <f t="shared" si="1"/>
        <v>5</v>
      </c>
      <c r="K13" s="64">
        <f t="shared" si="1"/>
        <v>5</v>
      </c>
      <c r="L13" s="64">
        <f t="shared" si="1"/>
        <v>5</v>
      </c>
      <c r="M13" s="64">
        <f t="shared" si="1"/>
        <v>5</v>
      </c>
      <c r="N13" s="79"/>
    </row>
    <row r="14" spans="1:14" ht="15" x14ac:dyDescent="0.2">
      <c r="A14" s="85" t="str">
        <f>Reference!A25</f>
        <v>Empress</v>
      </c>
      <c r="B14" s="64">
        <f t="shared" ref="B14:M14" si="2">5-B6</f>
        <v>5</v>
      </c>
      <c r="C14" s="64">
        <f t="shared" si="2"/>
        <v>5</v>
      </c>
      <c r="D14" s="64">
        <f t="shared" si="2"/>
        <v>5</v>
      </c>
      <c r="E14" s="64">
        <f t="shared" si="2"/>
        <v>5</v>
      </c>
      <c r="F14" s="64">
        <f t="shared" si="2"/>
        <v>5</v>
      </c>
      <c r="G14" s="64">
        <f t="shared" si="2"/>
        <v>5</v>
      </c>
      <c r="H14" s="64">
        <f t="shared" si="2"/>
        <v>5</v>
      </c>
      <c r="I14" s="64">
        <f t="shared" si="2"/>
        <v>5</v>
      </c>
      <c r="J14" s="64">
        <f t="shared" si="2"/>
        <v>5</v>
      </c>
      <c r="K14" s="64">
        <f t="shared" si="2"/>
        <v>5</v>
      </c>
      <c r="L14" s="64">
        <f t="shared" si="2"/>
        <v>5</v>
      </c>
      <c r="M14" s="64">
        <f t="shared" si="2"/>
        <v>5</v>
      </c>
      <c r="N14" s="79"/>
    </row>
    <row r="15" spans="1:14" ht="15" x14ac:dyDescent="0.2">
      <c r="A15" s="86" t="str">
        <f>Reference!A26</f>
        <v>Consort</v>
      </c>
      <c r="B15" s="64">
        <f t="shared" ref="B15:M15" si="3">5-B7</f>
        <v>5</v>
      </c>
      <c r="C15" s="64">
        <f t="shared" si="3"/>
        <v>5</v>
      </c>
      <c r="D15" s="64">
        <f t="shared" si="3"/>
        <v>5</v>
      </c>
      <c r="E15" s="64">
        <f t="shared" si="3"/>
        <v>5</v>
      </c>
      <c r="F15" s="64">
        <f t="shared" si="3"/>
        <v>5</v>
      </c>
      <c r="G15" s="64">
        <f t="shared" si="3"/>
        <v>5</v>
      </c>
      <c r="H15" s="64">
        <f t="shared" si="3"/>
        <v>5</v>
      </c>
      <c r="I15" s="64">
        <f t="shared" si="3"/>
        <v>5</v>
      </c>
      <c r="J15" s="64">
        <f t="shared" si="3"/>
        <v>5</v>
      </c>
      <c r="K15" s="64">
        <f t="shared" si="3"/>
        <v>5</v>
      </c>
      <c r="L15" s="64">
        <f t="shared" si="3"/>
        <v>5</v>
      </c>
      <c r="M15" s="64">
        <f t="shared" si="3"/>
        <v>5</v>
      </c>
      <c r="N15" s="79"/>
    </row>
    <row r="16" spans="1:14" ht="15" x14ac:dyDescent="0.2">
      <c r="A16" s="87" t="str">
        <f>Reference!A27</f>
        <v>Seductress</v>
      </c>
      <c r="B16" s="64">
        <f t="shared" ref="B16:M16" si="4">5-B8</f>
        <v>5</v>
      </c>
      <c r="C16" s="64">
        <f t="shared" si="4"/>
        <v>5</v>
      </c>
      <c r="D16" s="64">
        <f t="shared" si="4"/>
        <v>5</v>
      </c>
      <c r="E16" s="64">
        <f t="shared" si="4"/>
        <v>5</v>
      </c>
      <c r="F16" s="64">
        <f t="shared" si="4"/>
        <v>5</v>
      </c>
      <c r="G16" s="64">
        <f t="shared" si="4"/>
        <v>5</v>
      </c>
      <c r="H16" s="64">
        <f t="shared" si="4"/>
        <v>5</v>
      </c>
      <c r="I16" s="64">
        <f t="shared" si="4"/>
        <v>5</v>
      </c>
      <c r="J16" s="64">
        <f t="shared" si="4"/>
        <v>5</v>
      </c>
      <c r="K16" s="64">
        <f t="shared" si="4"/>
        <v>5</v>
      </c>
      <c r="L16" s="64">
        <f t="shared" si="4"/>
        <v>5</v>
      </c>
      <c r="M16" s="64">
        <f t="shared" si="4"/>
        <v>5</v>
      </c>
      <c r="N16" s="79"/>
    </row>
    <row r="51" spans="2:3" ht="20.25" customHeight="1" x14ac:dyDescent="0.15">
      <c r="B51" s="98" t="str">
        <f>$B$4</f>
        <v>Leading</v>
      </c>
      <c r="C51" s="100" t="b">
        <f>IF(SUM($B$5:$B$8)&lt;&gt;0,IF($B$5=MIN($B$5:$B$8), $A$5, IF(SUM(B5:B8)&lt;&gt;0,IF(B6=MIN($B5:$B8), $A$6, IF(SUM(B5:B8)&lt;&gt;0,IF(B7=MIN($B5:$B8), A7, IF(SUM(B5:B8)&lt;&gt;0,IF(B8=MIN($B5:$B8), A8, ""))))))))</f>
        <v>0</v>
      </c>
    </row>
    <row r="52" spans="2:3" ht="20.25" customHeight="1" x14ac:dyDescent="0.15">
      <c r="B52" s="98" t="str">
        <f>$C$4</f>
        <v>Trust</v>
      </c>
      <c r="C52" s="100" t="b">
        <f>IF(SUM(C5:C8)&lt;&gt;0,IF(C5=MIN(C5:C8), $A5, IF(SUM(C5:C8)&lt;&gt;0,IF(C6=MIN(C5:C8), $A6, IF(SUM(C5:C8)&lt;&gt;0,IF(C7=MIN(C5:C8), $A7, IF(SUM(C5:C8)&lt;&gt;0,IF(C8=MIN(C5:C8), $A8, ""))))))))</f>
        <v>0</v>
      </c>
    </row>
    <row r="53" spans="2:3" ht="20.25" customHeight="1" x14ac:dyDescent="0.15">
      <c r="B53" s="98" t="str">
        <f>$D$4</f>
        <v>Constraints</v>
      </c>
      <c r="C53" s="99" t="b">
        <f>IF(SUM(D5:D8)&lt;&gt;0,IF(D5=MIN(D5:D8), $A5, IF(SUM(D5:D8)&lt;&gt;0,IF(D6=MIN(D5:D8), $A6, IF(SUM(D5:D8)&lt;&gt;0,IF(D7=MIN(D5:D8), $A7, IF(SUM(D5:D8)&lt;&gt;0,IF(D8=MIN(D5:D8), $A8, ""))))))))</f>
        <v>0</v>
      </c>
    </row>
    <row r="54" spans="2:3" ht="20.25" customHeight="1" x14ac:dyDescent="0.15">
      <c r="B54" s="98" t="str">
        <f>$E$4</f>
        <v>Inspiration</v>
      </c>
      <c r="C54" s="100" t="b">
        <f>IF(SUM(E5:E8)&lt;&gt;0,IF(E5=MIN(E5:E8), $A5, IF(SUM(E5:E8)&lt;&gt;0,IF(E6=MIN(E5:E8), $A6, IF(SUM(E5:E8)&lt;&gt;0,IF(E7=MIN(E5:E8), $A7, IF(SUM(E5:E8)&lt;&gt;0,IF(E8=MIN(E5:E8), $A8, ""))))))))</f>
        <v>0</v>
      </c>
    </row>
    <row r="55" spans="2:3" ht="20.25" customHeight="1" x14ac:dyDescent="0.15">
      <c r="B55" s="98" t="str">
        <f>$F$4</f>
        <v>Managing Challenges</v>
      </c>
      <c r="C55" s="100" t="b">
        <f>IF(SUM(F5:F8)&lt;&gt;0,IF(F5=MIN(F5:F8), $A5, IF(SUM(F5:F8)&lt;&gt;0,IF(F6=MIN(F5:F8), $A6, IF(SUM(F5:F8)&lt;&gt;0,IF(F7=MIN(F5:F8), $A7, IF(SUM(F5:F8)&lt;&gt;0,IF(F8=MIN(F5:F8), $A8, ""))))))))</f>
        <v>0</v>
      </c>
    </row>
    <row r="56" spans="2:3" ht="20.25" customHeight="1" x14ac:dyDescent="0.15">
      <c r="B56" s="98" t="str">
        <f>$G$4</f>
        <v>Others View Me</v>
      </c>
      <c r="C56" s="100" t="b">
        <f>IF(SUM(G5:G8)&lt;&gt;0,IF(G5=MIN(G5:G8), $A5, IF(SUM(G5:G8)&lt;&gt;0,IF(G6=MIN(G5:G8), $A6, IF(SUM(G5:G8)&lt;&gt;0,IF(G7=MIN(G5:G8), $A7, IF(SUM(G5:G8)&lt;&gt;0,IF(G8=MIN(G5:G8), $A8, ""))))))))</f>
        <v>0</v>
      </c>
    </row>
    <row r="57" spans="2:3" ht="20.25" customHeight="1" x14ac:dyDescent="0.15">
      <c r="B57" s="98" t="str">
        <f>$H$4</f>
        <v>Striving</v>
      </c>
      <c r="C57" s="102" t="b">
        <f>IF(SUM(H5:H8)&lt;&gt;0,IF(H5=MIN(H5:H8), $A5, IF(SUM(H5:H8)&lt;&gt;0,IF(H6=MIN(H5:H8), $A6, IF(SUM(H5:H8)&lt;&gt;0,IF(H7=MIN(H5:H8), $A7, IF(SUM(H5:H8)&lt;&gt;0,IF(H8=MIN(H5:H8), $A8, ""))))))))</f>
        <v>0</v>
      </c>
    </row>
    <row r="58" spans="2:3" ht="20.25" customHeight="1" x14ac:dyDescent="0.15">
      <c r="B58" s="98" t="str">
        <f>$I$4</f>
        <v>Working With Peers</v>
      </c>
      <c r="C58" s="100" t="b">
        <f>IF(SUM(I5:I8)&lt;&gt;0,IF(I5=MIN(I5:I8), $A5, IF(SUM(I5:I8)&lt;&gt;0,IF(I6=MIN(I5:I8), $A6, IF(SUM(I5:I8)&lt;&gt;0,IF(I7=MIN(I5:I8), $A7, IF(SUM(I5:I8)&lt;&gt;0,IF(I8=MIN(I5:I8), $A8, ""))))))))</f>
        <v>0</v>
      </c>
    </row>
    <row r="59" spans="2:3" ht="20.25" customHeight="1" x14ac:dyDescent="0.15">
      <c r="B59" s="98" t="str">
        <f>$J$4</f>
        <v>At Your Worst</v>
      </c>
      <c r="C59" s="100" t="b">
        <f>IF(SUM(J5:J8)&lt;&gt;0,IF(J5=MIN(J5:J8), $A5, IF(SUM(J5:J8)&lt;&gt;0,IF(J6=MIN(J5:J8), $A6, IF(SUM(J5:J8)&lt;&gt;0,IF(J7=MIN(J5:J8), $A7, IF(SUM(J5:J8)&lt;&gt;0,IF(J8=MIN(J5:J8), $A8, ""))))))))</f>
        <v>0</v>
      </c>
    </row>
    <row r="60" spans="2:3" ht="20.25" customHeight="1" x14ac:dyDescent="0.15">
      <c r="B60" s="98" t="str">
        <f>$K$4</f>
        <v>Confidence</v>
      </c>
      <c r="C60" s="102" t="b">
        <f>IF(SUM(K5:K8)&lt;&gt;0,IF(K5=MIN(K5:K8), $A5, IF(SUM(K5:K8)&lt;&gt;0,IF(K6=MIN(K5:K8), $A6, IF(SUM(K5:K8)&lt;&gt;0,IF(K7=MIN(K5:K8), $A7, IF(SUM(K5:K8)&lt;&gt;0,IF(K8=MIN(K5:K8), $A8, ""))))))))</f>
        <v>0</v>
      </c>
    </row>
    <row r="61" spans="2:3" ht="21.75" customHeight="1" x14ac:dyDescent="0.15">
      <c r="B61" s="93" t="str">
        <f>$L$4</f>
        <v>Power</v>
      </c>
      <c r="C61" s="102" t="b">
        <f>IF(SUM(L5:L8)&lt;&gt;0,IF(L5=MIN(L5:L8), $A5, IF(SUM(L5:L8)&lt;&gt;0,IF(L6=MIN(L5:L8), $A6, IF(SUM(L5:L8)&lt;&gt;0,IF(L7=MIN(L5:L8), $A7, IF(SUM(L5:L8)&lt;&gt;0,IF(L8=MIN(L5:L8), $A8, ""))))))))</f>
        <v>0</v>
      </c>
    </row>
    <row r="62" spans="2:3" ht="24" customHeight="1" x14ac:dyDescent="0.15">
      <c r="B62" s="93" t="str">
        <f>$M$4</f>
        <v>Ambition</v>
      </c>
      <c r="C62" s="102" t="b">
        <f>IF(SUM(M5:M8)&lt;&gt;0,IF(M5=MIN(M5:M8), $A5, IF(SUM(M5:M8)&lt;&gt;0,IF(M6=MIN(M5:M8), $A6, IF(SUM(M5:M8)&lt;&gt;0,IF(M7=MIN(M5:M8), $A7, IF(SUM(M5:M8)&lt;&gt;0,IF(M8=MIN(M5:M8), $A8, ""))))))))</f>
        <v>0</v>
      </c>
    </row>
  </sheetData>
  <conditionalFormatting sqref="B2:E2">
    <cfRule type="containsText" dxfId="34" priority="8" operator="containsText" text="Empress">
      <formula>NOT(ISERROR(SEARCH(("Empress"),(B2))))</formula>
    </cfRule>
    <cfRule type="containsText" dxfId="33" priority="9" operator="containsText" text="Seductress">
      <formula>NOT(ISERROR(SEARCH(("Seductress"),(B2))))</formula>
    </cfRule>
    <cfRule type="containsText" dxfId="32" priority="10" operator="containsText" text="Consort">
      <formula>NOT(ISERROR(SEARCH(("Consort"),(B2))))</formula>
    </cfRule>
    <cfRule type="containsText" dxfId="31" priority="11" operator="containsText" text="Sovereign">
      <formula>NOT(ISERROR(SEARCH(("Sovereign"),(B2))))</formula>
    </cfRule>
  </conditionalFormatting>
  <conditionalFormatting sqref="B13:K17">
    <cfRule type="cellIs" dxfId="30" priority="7" operator="equal">
      <formula>4</formula>
    </cfRule>
  </conditionalFormatting>
  <conditionalFormatting sqref="C51:C62">
    <cfRule type="containsText" dxfId="29" priority="2" operator="containsText" text="Seductress">
      <formula>NOT(ISERROR(SEARCH(("Seductress"),(C51))))</formula>
    </cfRule>
    <cfRule type="containsText" dxfId="28" priority="3" operator="containsText" text="Consort">
      <formula>NOT(ISERROR(SEARCH(("Consort"),(C51))))</formula>
    </cfRule>
    <cfRule type="containsText" dxfId="27" priority="4" operator="containsText" text="Sovereign">
      <formula>NOT(ISERROR(SEARCH(("Sovereign"),(C51))))</formula>
    </cfRule>
    <cfRule type="containsText" dxfId="26" priority="5" operator="containsText" text="Empress">
      <formula>NOT(ISERROR(SEARCH(("Empress"),(C51))))</formula>
    </cfRule>
  </conditionalFormatting>
  <conditionalFormatting sqref="C61:C62">
    <cfRule type="containsText" dxfId="25" priority="1" operator="containsText" text="Seductress">
      <formula>NOT(ISERROR(SEARCH(("Seductress"),(C61))))</formula>
    </cfRule>
  </conditionalFormatting>
  <conditionalFormatting sqref="L5:M8 B5:K9 L13:M16">
    <cfRule type="cellIs" dxfId="24" priority="6" operator="equal">
      <formula>1</formula>
    </cfRule>
  </conditionalFormatting>
  <conditionalFormatting sqref="N5">
    <cfRule type="expression" dxfId="23" priority="12">
      <formula>AND(N5 = MIN($N5:$N8))</formula>
    </cfRule>
  </conditionalFormatting>
  <conditionalFormatting sqref="N6">
    <cfRule type="expression" dxfId="22" priority="13">
      <formula>AND(N6 = MIN($N5:$N8))</formula>
    </cfRule>
  </conditionalFormatting>
  <conditionalFormatting sqref="N7">
    <cfRule type="expression" dxfId="21" priority="14">
      <formula>AND(N7 = MIN($N5:$N8))</formula>
    </cfRule>
  </conditionalFormatting>
  <conditionalFormatting sqref="N8">
    <cfRule type="expression" dxfId="20" priority="15">
      <formula>AND(N8 = MIN($N5:$N8))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16"/>
  <sheetViews>
    <sheetView workbookViewId="0"/>
  </sheetViews>
  <sheetFormatPr baseColWidth="10" defaultColWidth="12.6640625" defaultRowHeight="15.75" customHeight="1" x14ac:dyDescent="0.15"/>
  <cols>
    <col min="1" max="1" width="19.1640625" customWidth="1"/>
    <col min="2" max="2" width="14.1640625" customWidth="1"/>
    <col min="4" max="4" width="14.5" customWidth="1"/>
    <col min="5" max="5" width="14.1640625" customWidth="1"/>
    <col min="6" max="6" width="19" customWidth="1"/>
    <col min="7" max="7" width="15.5" customWidth="1"/>
    <col min="8" max="8" width="14.6640625" customWidth="1"/>
    <col min="9" max="9" width="17.6640625" customWidth="1"/>
    <col min="10" max="10" width="15.1640625" customWidth="1"/>
    <col min="11" max="11" width="14.6640625" customWidth="1"/>
  </cols>
  <sheetData>
    <row r="1" spans="1:12" ht="15.75" customHeight="1" x14ac:dyDescent="0.25">
      <c r="A1" s="77" t="str">
        <f>'Epitome Archetype Guide'!M3</f>
        <v>Merle</v>
      </c>
      <c r="B1" s="77" t="str">
        <f>'Epitome Archetype Guide'!N3</f>
        <v>Singer</v>
      </c>
      <c r="C1" s="2" t="s">
        <v>241</v>
      </c>
      <c r="D1" s="78" t="str">
        <f>'Epitome Archetype Guide'!P3</f>
        <v>Epitome Leadership</v>
      </c>
      <c r="E1" s="2" t="str">
        <f>A1&amp;B1</f>
        <v>MerleSinger</v>
      </c>
      <c r="F1" s="103" t="e">
        <f>VLOOKUP(E1,oldAnalysis!I:J,2)</f>
        <v>#N/A</v>
      </c>
      <c r="G1" s="79"/>
      <c r="H1" s="79"/>
      <c r="I1" s="79"/>
      <c r="J1" s="79"/>
      <c r="K1" s="79"/>
      <c r="L1" s="79"/>
    </row>
    <row r="2" spans="1:12" x14ac:dyDescent="0.2">
      <c r="A2" s="80" t="s">
        <v>242</v>
      </c>
      <c r="B2" s="60" t="str">
        <f>oldAnalysis!H3</f>
        <v xml:space="preserve">
Empress</v>
      </c>
      <c r="D2" s="81"/>
      <c r="E2" s="81"/>
      <c r="F2" s="81"/>
      <c r="G2" s="81"/>
      <c r="H2" s="81"/>
      <c r="I2" s="81"/>
      <c r="J2" s="81"/>
      <c r="K2" s="81"/>
      <c r="L2" s="63"/>
    </row>
    <row r="3" spans="1:12" x14ac:dyDescent="0.2">
      <c r="A3" s="2" t="s">
        <v>199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63"/>
    </row>
    <row r="4" spans="1:12" x14ac:dyDescent="0.2">
      <c r="B4" s="81" t="str">
        <f>Reference!A10</f>
        <v>Leading</v>
      </c>
      <c r="C4" s="81" t="str">
        <f>Reference!A11</f>
        <v>Trust</v>
      </c>
      <c r="D4" s="81" t="str">
        <f>Reference!A12</f>
        <v>Constraints</v>
      </c>
      <c r="E4" s="81" t="str">
        <f>Reference!A13</f>
        <v>Inspiration</v>
      </c>
      <c r="F4" s="81" t="str">
        <f>Reference!A14</f>
        <v>Managing Challenges</v>
      </c>
      <c r="G4" s="81" t="str">
        <f>Reference!A15</f>
        <v>Others View Me</v>
      </c>
      <c r="H4" s="81" t="str">
        <f>Reference!A16</f>
        <v>Striving</v>
      </c>
      <c r="I4" s="81" t="str">
        <f>Reference!A17</f>
        <v>Working With Peers</v>
      </c>
      <c r="J4" s="81" t="str">
        <f>Reference!A18</f>
        <v>At Your Worst</v>
      </c>
      <c r="K4" s="81" t="str">
        <f>Reference!A19</f>
        <v>Confidence</v>
      </c>
      <c r="L4" s="63"/>
    </row>
    <row r="5" spans="1:12" x14ac:dyDescent="0.2">
      <c r="A5" s="83" t="str">
        <f>Reference!A24</f>
        <v>Sovereign</v>
      </c>
      <c r="B5" s="64" t="e">
        <f t="array" aca="1" ref="B5" ca="1">INDIRECT("'Epitome Archetype Framework'!S"&amp;VLOOKUP(A1&amp;B1,oldAnalysis!I:J,2))</f>
        <v>#N/A</v>
      </c>
      <c r="C5" s="64">
        <f>'Epitome Archetype Guide'!U3</f>
        <v>3</v>
      </c>
      <c r="D5" s="64">
        <f>'Epitome Archetype Guide'!Y3</f>
        <v>1</v>
      </c>
      <c r="E5" s="64">
        <f>'Epitome Archetype Guide'!AD3</f>
        <v>1</v>
      </c>
      <c r="F5" s="64">
        <f>'Epitome Archetype Guide'!AJ3</f>
        <v>4</v>
      </c>
      <c r="G5" s="64">
        <f>'Epitome Archetype Guide'!AM3</f>
        <v>2</v>
      </c>
      <c r="H5" s="64">
        <f>'Epitome Archetype Guide'!AO3</f>
        <v>1</v>
      </c>
      <c r="I5" s="64">
        <f>'Epitome Archetype Guide'!AT3</f>
        <v>3</v>
      </c>
      <c r="J5" s="64">
        <f>'Epitome Archetype Guide'!AZ3</f>
        <v>4</v>
      </c>
      <c r="K5" s="64">
        <f>'Epitome Archetype Guide'!BC3</f>
        <v>2</v>
      </c>
      <c r="L5" s="79"/>
    </row>
    <row r="6" spans="1:12" x14ac:dyDescent="0.2">
      <c r="A6" s="85" t="str">
        <f>Reference!A25</f>
        <v>Empress</v>
      </c>
      <c r="B6" s="64" t="e">
        <f t="array" aca="1" ref="B6" ca="1">INDIRECT("'Epitome Archetype Framework'!R"&amp;VLOOKUP(A1&amp;B1,oldAnalysis!I:J,2))</f>
        <v>#N/A</v>
      </c>
      <c r="C6" s="64">
        <f>'Epitome Archetype Guide'!V3</f>
        <v>1</v>
      </c>
      <c r="D6" s="64">
        <f>'Epitome Archetype Guide'!AA3</f>
        <v>2</v>
      </c>
      <c r="E6" s="64">
        <f>'Epitome Archetype Guide'!AC3</f>
        <v>3</v>
      </c>
      <c r="F6" s="64">
        <f>'Epitome Archetype Guide'!AG3</f>
        <v>1</v>
      </c>
      <c r="G6" s="64">
        <f>'Epitome Archetype Guide'!AL3</f>
        <v>1</v>
      </c>
      <c r="H6" s="64">
        <f>'Epitome Archetype Guide'!AR3</f>
        <v>4</v>
      </c>
      <c r="I6" s="64">
        <f>'Epitome Archetype Guide'!AS3</f>
        <v>1</v>
      </c>
      <c r="J6" s="64">
        <f>'Epitome Archetype Guide'!AX3</f>
        <v>3</v>
      </c>
      <c r="K6" s="64">
        <f>'Epitome Archetype Guide'!BA3</f>
        <v>1</v>
      </c>
      <c r="L6" s="79"/>
    </row>
    <row r="7" spans="1:12" x14ac:dyDescent="0.2">
      <c r="A7" s="86" t="str">
        <f>Reference!A26</f>
        <v>Consort</v>
      </c>
      <c r="B7" s="64">
        <f>'Epitome Archetype Guide'!T3</f>
        <v>3</v>
      </c>
      <c r="C7" s="64">
        <f>'Epitome Archetype Guide'!X3</f>
        <v>2</v>
      </c>
      <c r="D7" s="64">
        <f>'Epitome Archetype Guide'!Z3</f>
        <v>3</v>
      </c>
      <c r="E7" s="64">
        <f>'Epitome Archetype Guide'!AE3</f>
        <v>4</v>
      </c>
      <c r="F7" s="64">
        <f>'Epitome Archetype Guide'!AH3</f>
        <v>3</v>
      </c>
      <c r="G7" s="64">
        <f>'Epitome Archetype Guide'!AK3</f>
        <v>3</v>
      </c>
      <c r="H7" s="64">
        <f>'Epitome Archetype Guide'!AP3</f>
        <v>3</v>
      </c>
      <c r="I7" s="64">
        <f>'Epitome Archetype Guide'!AV3</f>
        <v>4</v>
      </c>
      <c r="J7" s="64">
        <f>'Epitome Archetype Guide'!AY3</f>
        <v>1</v>
      </c>
      <c r="K7" s="64">
        <f>'Epitome Archetype Guide'!BD3</f>
        <v>3</v>
      </c>
      <c r="L7" s="79"/>
    </row>
    <row r="8" spans="1:12" x14ac:dyDescent="0.2">
      <c r="A8" s="87" t="str">
        <f>Reference!A27</f>
        <v>Seductress</v>
      </c>
      <c r="B8" s="64">
        <f>'Epitome Archetype Guide'!Q3</f>
        <v>4</v>
      </c>
      <c r="C8" s="64">
        <f>'Epitome Archetype Guide'!W3</f>
        <v>4</v>
      </c>
      <c r="D8" s="64">
        <f>'Epitome Archetype Guide'!AB3</f>
        <v>4</v>
      </c>
      <c r="E8" s="64">
        <f>'Epitome Archetype Guide'!AF3</f>
        <v>2</v>
      </c>
      <c r="F8" s="64">
        <f>'Epitome Archetype Guide'!AI3</f>
        <v>2</v>
      </c>
      <c r="G8" s="64">
        <f>'Epitome Archetype Guide'!AN3</f>
        <v>4</v>
      </c>
      <c r="H8" s="64">
        <f>'Epitome Archetype Guide'!AQ3</f>
        <v>2</v>
      </c>
      <c r="I8" s="64">
        <f>'Epitome Archetype Guide'!AU3</f>
        <v>2</v>
      </c>
      <c r="J8" s="64">
        <f>'Epitome Archetype Guide'!AW3</f>
        <v>2</v>
      </c>
      <c r="K8" s="64">
        <f>'Epitome Archetype Guide'!BB3</f>
        <v>4</v>
      </c>
      <c r="L8" s="79"/>
    </row>
    <row r="10" spans="1:12" x14ac:dyDescent="0.2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</row>
    <row r="11" spans="1:12" x14ac:dyDescent="0.2">
      <c r="A11" s="89" t="s">
        <v>244</v>
      </c>
      <c r="B11" s="90"/>
      <c r="C11" s="90"/>
      <c r="D11" s="91"/>
      <c r="E11" s="79"/>
      <c r="F11" s="79"/>
      <c r="G11" s="79"/>
      <c r="H11" s="79"/>
      <c r="I11" s="79"/>
      <c r="J11" s="79"/>
      <c r="K11" s="79"/>
      <c r="L11" s="79"/>
    </row>
    <row r="12" spans="1:12" x14ac:dyDescent="0.2">
      <c r="A12" s="92" t="s">
        <v>199</v>
      </c>
      <c r="B12" s="81" t="str">
        <f>Reference!A10</f>
        <v>Leading</v>
      </c>
      <c r="C12" s="81" t="str">
        <f>Reference!A11</f>
        <v>Trust</v>
      </c>
      <c r="D12" s="81" t="str">
        <f>Reference!A12</f>
        <v>Constraints</v>
      </c>
      <c r="E12" s="81" t="str">
        <f>Reference!A13</f>
        <v>Inspiration</v>
      </c>
      <c r="F12" s="81" t="str">
        <f>Reference!A14</f>
        <v>Managing Challenges</v>
      </c>
      <c r="G12" s="81" t="str">
        <f>Reference!A15</f>
        <v>Others View Me</v>
      </c>
      <c r="H12" s="81" t="str">
        <f>Reference!A16</f>
        <v>Striving</v>
      </c>
      <c r="I12" s="81" t="str">
        <f>Reference!A17</f>
        <v>Working With Peers</v>
      </c>
      <c r="J12" s="81" t="str">
        <f>Reference!A18</f>
        <v>At Your Worst</v>
      </c>
      <c r="K12" s="81" t="str">
        <f>Reference!A19</f>
        <v>Confidence</v>
      </c>
      <c r="L12" s="63"/>
    </row>
    <row r="13" spans="1:12" x14ac:dyDescent="0.2">
      <c r="A13" s="83" t="str">
        <f>Reference!A24</f>
        <v>Sovereign</v>
      </c>
      <c r="B13" s="64" t="e">
        <f t="shared" ref="B13:K13" ca="1" si="0">5-B5</f>
        <v>#N/A</v>
      </c>
      <c r="C13" s="64">
        <f t="shared" si="0"/>
        <v>2</v>
      </c>
      <c r="D13" s="64">
        <f t="shared" si="0"/>
        <v>4</v>
      </c>
      <c r="E13" s="64">
        <f t="shared" si="0"/>
        <v>4</v>
      </c>
      <c r="F13" s="64">
        <f t="shared" si="0"/>
        <v>1</v>
      </c>
      <c r="G13" s="64">
        <f t="shared" si="0"/>
        <v>3</v>
      </c>
      <c r="H13" s="64">
        <f t="shared" si="0"/>
        <v>4</v>
      </c>
      <c r="I13" s="64">
        <f t="shared" si="0"/>
        <v>2</v>
      </c>
      <c r="J13" s="64">
        <f t="shared" si="0"/>
        <v>1</v>
      </c>
      <c r="K13" s="64">
        <f t="shared" si="0"/>
        <v>3</v>
      </c>
      <c r="L13" s="79"/>
    </row>
    <row r="14" spans="1:12" x14ac:dyDescent="0.2">
      <c r="A14" s="85" t="str">
        <f>Reference!A25</f>
        <v>Empress</v>
      </c>
      <c r="B14" s="64" t="e">
        <f t="shared" ref="B14:K14" ca="1" si="1">5-B6</f>
        <v>#N/A</v>
      </c>
      <c r="C14" s="64">
        <f t="shared" si="1"/>
        <v>4</v>
      </c>
      <c r="D14" s="64">
        <f t="shared" si="1"/>
        <v>3</v>
      </c>
      <c r="E14" s="64">
        <f t="shared" si="1"/>
        <v>2</v>
      </c>
      <c r="F14" s="64">
        <f t="shared" si="1"/>
        <v>4</v>
      </c>
      <c r="G14" s="64">
        <f t="shared" si="1"/>
        <v>4</v>
      </c>
      <c r="H14" s="64">
        <f t="shared" si="1"/>
        <v>1</v>
      </c>
      <c r="I14" s="64">
        <f t="shared" si="1"/>
        <v>4</v>
      </c>
      <c r="J14" s="64">
        <f t="shared" si="1"/>
        <v>2</v>
      </c>
      <c r="K14" s="64">
        <f t="shared" si="1"/>
        <v>4</v>
      </c>
      <c r="L14" s="79"/>
    </row>
    <row r="15" spans="1:12" x14ac:dyDescent="0.2">
      <c r="A15" s="86" t="str">
        <f>Reference!A26</f>
        <v>Consort</v>
      </c>
      <c r="B15" s="64">
        <f t="shared" ref="B15:K15" si="2">5-B7</f>
        <v>2</v>
      </c>
      <c r="C15" s="64">
        <f t="shared" si="2"/>
        <v>3</v>
      </c>
      <c r="D15" s="64">
        <f t="shared" si="2"/>
        <v>2</v>
      </c>
      <c r="E15" s="64">
        <f t="shared" si="2"/>
        <v>1</v>
      </c>
      <c r="F15" s="64">
        <f t="shared" si="2"/>
        <v>2</v>
      </c>
      <c r="G15" s="64">
        <f t="shared" si="2"/>
        <v>2</v>
      </c>
      <c r="H15" s="64">
        <f t="shared" si="2"/>
        <v>2</v>
      </c>
      <c r="I15" s="64">
        <f t="shared" si="2"/>
        <v>1</v>
      </c>
      <c r="J15" s="64">
        <f t="shared" si="2"/>
        <v>4</v>
      </c>
      <c r="K15" s="64">
        <f t="shared" si="2"/>
        <v>2</v>
      </c>
      <c r="L15" s="79"/>
    </row>
    <row r="16" spans="1:12" x14ac:dyDescent="0.2">
      <c r="A16" s="87" t="str">
        <f>Reference!A27</f>
        <v>Seductress</v>
      </c>
      <c r="B16" s="64">
        <f t="shared" ref="B16:K16" si="3">5-B8</f>
        <v>1</v>
      </c>
      <c r="C16" s="64">
        <f t="shared" si="3"/>
        <v>1</v>
      </c>
      <c r="D16" s="64">
        <f t="shared" si="3"/>
        <v>1</v>
      </c>
      <c r="E16" s="64">
        <f t="shared" si="3"/>
        <v>3</v>
      </c>
      <c r="F16" s="64">
        <f t="shared" si="3"/>
        <v>3</v>
      </c>
      <c r="G16" s="64">
        <f t="shared" si="3"/>
        <v>1</v>
      </c>
      <c r="H16" s="64">
        <f t="shared" si="3"/>
        <v>3</v>
      </c>
      <c r="I16" s="64">
        <f t="shared" si="3"/>
        <v>3</v>
      </c>
      <c r="J16" s="64">
        <f t="shared" si="3"/>
        <v>3</v>
      </c>
      <c r="K16" s="64">
        <f t="shared" si="3"/>
        <v>1</v>
      </c>
      <c r="L16" s="79"/>
    </row>
  </sheetData>
  <conditionalFormatting sqref="B2">
    <cfRule type="containsText" dxfId="19" priority="3" operator="containsText" text="Empress">
      <formula>NOT(ISERROR(SEARCH(("Empress"),(B2))))</formula>
    </cfRule>
    <cfRule type="containsText" dxfId="18" priority="4" operator="containsText" text="Seductress">
      <formula>NOT(ISERROR(SEARCH(("Seductress"),(B2))))</formula>
    </cfRule>
    <cfRule type="containsText" dxfId="17" priority="5" operator="containsText" text="Consort">
      <formula>NOT(ISERROR(SEARCH(("Consort"),(B2))))</formula>
    </cfRule>
    <cfRule type="containsText" dxfId="16" priority="6" operator="containsText" text="Sovereign">
      <formula>NOT(ISERROR(SEARCH(("Sovereign"),(B2))))</formula>
    </cfRule>
  </conditionalFormatting>
  <conditionalFormatting sqref="B5:K9">
    <cfRule type="cellIs" dxfId="15" priority="1" operator="equal">
      <formula>1</formula>
    </cfRule>
  </conditionalFormatting>
  <conditionalFormatting sqref="B13:K17">
    <cfRule type="cellIs" dxfId="14" priority="2" operator="equal">
      <formula>4</formula>
    </cfRule>
  </conditionalFormatting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Z1000"/>
  <sheetViews>
    <sheetView workbookViewId="0"/>
  </sheetViews>
  <sheetFormatPr baseColWidth="10" defaultColWidth="12.6640625" defaultRowHeight="15.75" customHeight="1" x14ac:dyDescent="0.15"/>
  <cols>
    <col min="3" max="3" width="19.1640625" customWidth="1"/>
    <col min="7" max="7" width="14.1640625" customWidth="1"/>
    <col min="8" max="8" width="24.83203125" customWidth="1"/>
  </cols>
  <sheetData>
    <row r="1" spans="1:52" ht="15.75" customHeight="1" x14ac:dyDescent="0.25">
      <c r="A1" s="69" t="s">
        <v>217</v>
      </c>
      <c r="B1" s="69" t="s">
        <v>218</v>
      </c>
      <c r="C1" s="69" t="s">
        <v>15</v>
      </c>
      <c r="D1" s="70" t="s">
        <v>133</v>
      </c>
      <c r="E1" s="70" t="s">
        <v>245</v>
      </c>
      <c r="F1" s="70" t="s">
        <v>135</v>
      </c>
      <c r="G1" s="70" t="s">
        <v>136</v>
      </c>
      <c r="H1" s="70" t="s">
        <v>219</v>
      </c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</row>
    <row r="2" spans="1:52" ht="15.75" customHeight="1" x14ac:dyDescent="0.25">
      <c r="A2" s="73" t="str">
        <f>'Epitome Archetype Guide'!$M2</f>
        <v>Laura</v>
      </c>
      <c r="B2" s="73" t="str">
        <f>'Epitome Archetype Guide'!$N2</f>
        <v>Taitz</v>
      </c>
      <c r="C2" s="73" t="str">
        <f>'Epitome Archetype Guide'!$P2</f>
        <v>Fraction PM</v>
      </c>
      <c r="D2" s="74">
        <f>'Epitome Archetype Guide'!$S2+'Epitome Archetype Guide'!$U2+'Epitome Archetype Guide'!$Y2+'Epitome Archetype Guide'!$AD2+'Epitome Archetype Guide'!$AJ2+'Epitome Archetype Guide'!$AM2+'Epitome Archetype Guide'!$AO2+'Epitome Archetype Guide'!$AT2+'Epitome Archetype Guide'!$AZ2+'Epitome Archetype Guide'!$BC2</f>
        <v>24</v>
      </c>
      <c r="E2" s="74">
        <f>'Epitome Archetype Guide'!$R2+'Epitome Archetype Guide'!$V2+'Epitome Archetype Guide'!$AA2+'Epitome Archetype Guide'!$AC2+'Epitome Archetype Guide'!$AG2+'Epitome Archetype Guide'!$AL2+'Epitome Archetype Guide'!$AR2+'Epitome Archetype Guide'!$AS2+'Epitome Archetype Guide'!$AX2+'Epitome Archetype Guide'!$BA2</f>
        <v>19</v>
      </c>
      <c r="F2" s="74">
        <f>'Epitome Archetype Guide'!$T2+'Epitome Archetype Guide'!$X2+'Epitome Archetype Guide'!$Z2+'Epitome Archetype Guide'!$AE2+'Epitome Archetype Guide'!$AH2+'Epitome Archetype Guide'!$AK2+'Epitome Archetype Guide'!$AP2+'Epitome Archetype Guide'!$AU2+'Epitome Archetype Guide'!$AY2+'Epitome Archetype Guide'!$BC2</f>
        <v>27</v>
      </c>
      <c r="G2" s="74">
        <f>'Epitome Archetype Guide'!$Q2+'Epitome Archetype Guide'!$W2+'Epitome Archetype Guide'!$AB2+'Epitome Archetype Guide'!$AF2+'Epitome Archetype Guide'!$AI2+'Epitome Archetype Guide'!$AN2+'Epitome Archetype Guide'!$AQ2+'Epitome Archetype Guide'!$AU2+'Epitome Archetype Guide'!$AW2+'Epitome Archetype Guide'!$BB2</f>
        <v>28</v>
      </c>
      <c r="H2" s="69" t="str">
        <f t="shared" ref="H2:H21" si="0">IF(SUM($D2:$G2)&gt;0, INDEX($D$1:$G$1, MATCH(MIN($D2:$G2), $D2:$G2, 0)), "")</f>
        <v xml:space="preserve">
Empress</v>
      </c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1"/>
    </row>
    <row r="3" spans="1:52" ht="15.75" customHeight="1" x14ac:dyDescent="0.25">
      <c r="A3" s="73" t="str">
        <f>'Epitome Archetype Guide'!$M3</f>
        <v>Merle</v>
      </c>
      <c r="B3" s="73" t="str">
        <f>'Epitome Archetype Guide'!$N3</f>
        <v>Singer</v>
      </c>
      <c r="C3" s="73" t="str">
        <f>'Epitome Archetype Guide'!$P3</f>
        <v>Epitome Leadership</v>
      </c>
      <c r="D3" s="74">
        <f>'Epitome Archetype Guide'!$S3+'Epitome Archetype Guide'!$U3+'Epitome Archetype Guide'!$Y3+'Epitome Archetype Guide'!$AD3+'Epitome Archetype Guide'!$AI3+'Epitome Archetype Guide'!$AM3+'Epitome Archetype Guide'!$AO3+'Epitome Archetype Guide'!$AT3+'Epitome Archetype Guide'!$AZ3+'Epitome Archetype Guide'!$BC3</f>
        <v>21</v>
      </c>
      <c r="E3" s="74">
        <f>'Epitome Archetype Guide'!$R3+'Epitome Archetype Guide'!$V3+'Epitome Archetype Guide'!$AA3+'Epitome Archetype Guide'!$AC3+'Epitome Archetype Guide'!$AG3+'Epitome Archetype Guide'!$AL3+'Epitome Archetype Guide'!$AR3+'Epitome Archetype Guide'!$AS3+'Epitome Archetype Guide'!$AX3+'Epitome Archetype Guide'!$BA3</f>
        <v>18</v>
      </c>
      <c r="F3" s="74">
        <f>'Epitome Archetype Guide'!$T3+'Epitome Archetype Guide'!$X3+'Epitome Archetype Guide'!$Z3+'Epitome Archetype Guide'!$AE3+'Epitome Archetype Guide'!$AH3+'Epitome Archetype Guide'!$AK3+'Epitome Archetype Guide'!$AP3+'Epitome Archetype Guide'!$AU3+'Epitome Archetype Guide'!$AY3+'Epitome Archetype Guide'!$BC3</f>
        <v>26</v>
      </c>
      <c r="G3" s="74">
        <f>'Epitome Archetype Guide'!$Q3+'Epitome Archetype Guide'!$W3+'Epitome Archetype Guide'!$AB3+'Epitome Archetype Guide'!$AF3+'Epitome Archetype Guide'!$AI3+'Epitome Archetype Guide'!$AN3+'Epitome Archetype Guide'!$AQ3+'Epitome Archetype Guide'!$AU3+'Epitome Archetype Guide'!$AW3+'Epitome Archetype Guide'!$BB3</f>
        <v>30</v>
      </c>
      <c r="H3" s="69" t="str">
        <f t="shared" si="0"/>
        <v xml:space="preserve">
Empress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</row>
    <row r="4" spans="1:52" ht="15.75" customHeight="1" x14ac:dyDescent="0.25">
      <c r="A4" s="73" t="str">
        <f>'Epitome Archetype Guide'!$M4</f>
        <v>Jenny</v>
      </c>
      <c r="B4" s="73" t="str">
        <f>'Epitome Archetype Guide'!$N4</f>
        <v>Nola</v>
      </c>
      <c r="C4" s="73" t="str">
        <f>'Epitome Archetype Guide'!$P4</f>
        <v>CWA of Victoria Inc</v>
      </c>
      <c r="D4" s="74">
        <f>'Epitome Archetype Guide'!$S4+'Epitome Archetype Guide'!$U4+'Epitome Archetype Guide'!$Y4+'Epitome Archetype Guide'!$AD4+'Epitome Archetype Guide'!$AI4+'Epitome Archetype Guide'!$AM4+'Epitome Archetype Guide'!$AO4+'Epitome Archetype Guide'!$AT4+'Epitome Archetype Guide'!$AZ4+'Epitome Archetype Guide'!$BC4</f>
        <v>19</v>
      </c>
      <c r="E4" s="74">
        <f>'Epitome Archetype Guide'!$R4+'Epitome Archetype Guide'!$V4+'Epitome Archetype Guide'!$AA4+'Epitome Archetype Guide'!$AC4+'Epitome Archetype Guide'!$AG4+'Epitome Archetype Guide'!$AL4+'Epitome Archetype Guide'!$AR4+'Epitome Archetype Guide'!$AS4+'Epitome Archetype Guide'!$AX4+'Epitome Archetype Guide'!$BA4</f>
        <v>20</v>
      </c>
      <c r="F4" s="74">
        <f>'Epitome Archetype Guide'!$T4+'Epitome Archetype Guide'!$X4+'Epitome Archetype Guide'!$Z4+'Epitome Archetype Guide'!$AE4+'Epitome Archetype Guide'!$AH4+'Epitome Archetype Guide'!$AK4+'Epitome Archetype Guide'!$AP4+'Epitome Archetype Guide'!$AU4+'Epitome Archetype Guide'!$AY4+'Epitome Archetype Guide'!$BC4</f>
        <v>30</v>
      </c>
      <c r="G4" s="74">
        <f>'Epitome Archetype Guide'!$Q4+'Epitome Archetype Guide'!$W4+'Epitome Archetype Guide'!$AB4+'Epitome Archetype Guide'!$AF4+'Epitome Archetype Guide'!$AI4+'Epitome Archetype Guide'!$AN4+'Epitome Archetype Guide'!$AQ4+'Epitome Archetype Guide'!$AU4+'Epitome Archetype Guide'!$AW4+'Epitome Archetype Guide'!$BB4</f>
        <v>26</v>
      </c>
      <c r="H4" s="69" t="str">
        <f t="shared" si="0"/>
        <v>Sovereign</v>
      </c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</row>
    <row r="5" spans="1:52" ht="15.75" customHeight="1" x14ac:dyDescent="0.25">
      <c r="A5" s="73" t="str">
        <f>'Epitome Archetype Guide'!$M5</f>
        <v>Jacqui</v>
      </c>
      <c r="B5" s="73" t="str">
        <f>'Epitome Archetype Guide'!$N5</f>
        <v>Kernot</v>
      </c>
      <c r="C5" s="73" t="str">
        <f>'Epitome Archetype Guide'!$P5</f>
        <v xml:space="preserve">Model security </v>
      </c>
      <c r="D5" s="74">
        <f>'Epitome Archetype Guide'!$S5+'Epitome Archetype Guide'!$U5+'Epitome Archetype Guide'!$Y5+'Epitome Archetype Guide'!$AD5+'Epitome Archetype Guide'!$AI5+'Epitome Archetype Guide'!$AM5+'Epitome Archetype Guide'!$AO5+'Epitome Archetype Guide'!$AT5+'Epitome Archetype Guide'!$AZ5+'Epitome Archetype Guide'!$BC5</f>
        <v>15</v>
      </c>
      <c r="E5" s="74">
        <f>'Epitome Archetype Guide'!$R5+'Epitome Archetype Guide'!$V5+'Epitome Archetype Guide'!$AA5+'Epitome Archetype Guide'!$AC5+'Epitome Archetype Guide'!$AG5+'Epitome Archetype Guide'!$AL5+'Epitome Archetype Guide'!$AR5+'Epitome Archetype Guide'!$AS5+'Epitome Archetype Guide'!$AX5+'Epitome Archetype Guide'!$BA5</f>
        <v>23</v>
      </c>
      <c r="F5" s="74">
        <f>'Epitome Archetype Guide'!$T5+'Epitome Archetype Guide'!$X5+'Epitome Archetype Guide'!$Z5+'Epitome Archetype Guide'!$AE5+'Epitome Archetype Guide'!$AH5+'Epitome Archetype Guide'!$AK5+'Epitome Archetype Guide'!$AP5+'Epitome Archetype Guide'!$AU5+'Epitome Archetype Guide'!$AY5+'Epitome Archetype Guide'!$BC5</f>
        <v>32</v>
      </c>
      <c r="G5" s="74">
        <f>'Epitome Archetype Guide'!$Q5+'Epitome Archetype Guide'!$W5+'Epitome Archetype Guide'!$AB5+'Epitome Archetype Guide'!$AF5+'Epitome Archetype Guide'!$AI5+'Epitome Archetype Guide'!$AN5+'Epitome Archetype Guide'!$AQ5+'Epitome Archetype Guide'!$AU5+'Epitome Archetype Guide'!$AW5+'Epitome Archetype Guide'!$BB5</f>
        <v>27</v>
      </c>
      <c r="H5" s="69" t="str">
        <f t="shared" si="0"/>
        <v>Sovereign</v>
      </c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</row>
    <row r="6" spans="1:52" ht="15.75" customHeight="1" x14ac:dyDescent="0.25">
      <c r="A6" s="73" t="str">
        <f>'Epitome Archetype Guide'!$M6</f>
        <v>Erikka</v>
      </c>
      <c r="B6" s="73" t="str">
        <f>'Epitome Archetype Guide'!$N6</f>
        <v xml:space="preserve">Buracchio </v>
      </c>
      <c r="C6" s="73" t="str">
        <f>'Epitome Archetype Guide'!$P6</f>
        <v>Retired</v>
      </c>
      <c r="D6" s="74">
        <f>'Epitome Archetype Guide'!$S6+'Epitome Archetype Guide'!$U6+'Epitome Archetype Guide'!$Y6+'Epitome Archetype Guide'!$AD6+'Epitome Archetype Guide'!$AI6+'Epitome Archetype Guide'!$AM6+'Epitome Archetype Guide'!$AO6+'Epitome Archetype Guide'!$AT6+'Epitome Archetype Guide'!$AZ6+'Epitome Archetype Guide'!$BC6</f>
        <v>18</v>
      </c>
      <c r="E6" s="74">
        <f>'Epitome Archetype Guide'!$R6+'Epitome Archetype Guide'!$V6+'Epitome Archetype Guide'!$AA6+'Epitome Archetype Guide'!$AC6+'Epitome Archetype Guide'!$AG6+'Epitome Archetype Guide'!$AL6+'Epitome Archetype Guide'!$AR6+'Epitome Archetype Guide'!$AS6+'Epitome Archetype Guide'!$AX6+'Epitome Archetype Guide'!$BA6</f>
        <v>17</v>
      </c>
      <c r="F6" s="74">
        <f>'Epitome Archetype Guide'!$T6+'Epitome Archetype Guide'!$X6+'Epitome Archetype Guide'!$Z6+'Epitome Archetype Guide'!$AE6+'Epitome Archetype Guide'!$AH6+'Epitome Archetype Guide'!$AK6+'Epitome Archetype Guide'!$AP6+'Epitome Archetype Guide'!$AU6+'Epitome Archetype Guide'!$AY6+'Epitome Archetype Guide'!$BC6</f>
        <v>29</v>
      </c>
      <c r="G6" s="74">
        <f>'Epitome Archetype Guide'!$Q6+'Epitome Archetype Guide'!$W6+'Epitome Archetype Guide'!$AB6+'Epitome Archetype Guide'!$AF6+'Epitome Archetype Guide'!$AI6+'Epitome Archetype Guide'!$AN6+'Epitome Archetype Guide'!$AQ6+'Epitome Archetype Guide'!$AU6+'Epitome Archetype Guide'!$AW6+'Epitome Archetype Guide'!$BB6</f>
        <v>37</v>
      </c>
      <c r="H6" s="69" t="str">
        <f t="shared" si="0"/>
        <v xml:space="preserve">
Empress</v>
      </c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</row>
    <row r="7" spans="1:52" ht="15.75" customHeight="1" x14ac:dyDescent="0.25">
      <c r="A7" s="73" t="str">
        <f>'Epitome Archetype Guide'!$M7</f>
        <v>Jill</v>
      </c>
      <c r="B7" s="73" t="str">
        <f>'Epitome Archetype Guide'!$N7</f>
        <v>Shapiro</v>
      </c>
      <c r="C7" s="73" t="str">
        <f>'Epitome Archetype Guide'!$P7</f>
        <v>AltX Financial Group</v>
      </c>
      <c r="D7" s="74">
        <f>'Epitome Archetype Guide'!$S7+'Epitome Archetype Guide'!$U7+'Epitome Archetype Guide'!$Y7+'Epitome Archetype Guide'!$AD7+'Epitome Archetype Guide'!$AI7+'Epitome Archetype Guide'!$AM7+'Epitome Archetype Guide'!$AO7+'Epitome Archetype Guide'!$AT7+'Epitome Archetype Guide'!$AZ7+'Epitome Archetype Guide'!$BC7</f>
        <v>19</v>
      </c>
      <c r="E7" s="74">
        <f>'Epitome Archetype Guide'!$R7+'Epitome Archetype Guide'!$V7+'Epitome Archetype Guide'!$AA7+'Epitome Archetype Guide'!$AC7+'Epitome Archetype Guide'!$AG7+'Epitome Archetype Guide'!$AL7+'Epitome Archetype Guide'!$AR7+'Epitome Archetype Guide'!$AS7+'Epitome Archetype Guide'!$AX7+'Epitome Archetype Guide'!$BA7</f>
        <v>30</v>
      </c>
      <c r="F7" s="74">
        <f>'Epitome Archetype Guide'!$T7+'Epitome Archetype Guide'!$X7+'Epitome Archetype Guide'!$Z7+'Epitome Archetype Guide'!$AE7+'Epitome Archetype Guide'!$AH7+'Epitome Archetype Guide'!$AK7+'Epitome Archetype Guide'!$AP7+'Epitome Archetype Guide'!$AU7+'Epitome Archetype Guide'!$AY7+'Epitome Archetype Guide'!$BC7</f>
        <v>19</v>
      </c>
      <c r="G7" s="74">
        <f>'Epitome Archetype Guide'!$Q7+'Epitome Archetype Guide'!$W7+'Epitome Archetype Guide'!$AB7+'Epitome Archetype Guide'!$AF7+'Epitome Archetype Guide'!$AI7+'Epitome Archetype Guide'!$AN7+'Epitome Archetype Guide'!$AQ7+'Epitome Archetype Guide'!$AU7+'Epitome Archetype Guide'!$AW7+'Epitome Archetype Guide'!$BB7</f>
        <v>30</v>
      </c>
      <c r="H7" s="69" t="str">
        <f t="shared" si="0"/>
        <v>Sovereign</v>
      </c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</row>
    <row r="8" spans="1:52" ht="15.75" customHeight="1" x14ac:dyDescent="0.25">
      <c r="A8" s="73">
        <f>'Epitome Archetype Guide'!$M8</f>
        <v>0</v>
      </c>
      <c r="B8" s="73">
        <f>'Epitome Archetype Guide'!$N8</f>
        <v>0</v>
      </c>
      <c r="C8" s="73">
        <f>'Epitome Archetype Guide'!$P8</f>
        <v>0</v>
      </c>
      <c r="D8" s="74">
        <f>'Epitome Archetype Guide'!$S8+'Epitome Archetype Guide'!$U8+'Epitome Archetype Guide'!$Y8+'Epitome Archetype Guide'!$AD8+'Epitome Archetype Guide'!$AJ8+'Epitome Archetype Guide'!$AM8+'Epitome Archetype Guide'!$AO8+'Epitome Archetype Guide'!$AT8+'Epitome Archetype Guide'!$AZ8+'Epitome Archetype Guide'!$BC8</f>
        <v>0</v>
      </c>
      <c r="E8" s="74">
        <f>'Epitome Archetype Guide'!$R8+'Epitome Archetype Guide'!$V8+'Epitome Archetype Guide'!$AA8+'Epitome Archetype Guide'!$AC8+'Epitome Archetype Guide'!$AG8+'Epitome Archetype Guide'!$AL8+'Epitome Archetype Guide'!$AR8+'Epitome Archetype Guide'!$AS8+'Epitome Archetype Guide'!$AX8+'Epitome Archetype Guide'!$BA8</f>
        <v>0</v>
      </c>
      <c r="F8" s="74">
        <f>'Epitome Archetype Guide'!$T8+'Epitome Archetype Guide'!$X8+'Epitome Archetype Guide'!$Z8+'Epitome Archetype Guide'!$AE8+'Epitome Archetype Guide'!$AH8+'Epitome Archetype Guide'!$AK8+'Epitome Archetype Guide'!$AP8+'Epitome Archetype Guide'!$AU8+'Epitome Archetype Guide'!$AY8+'Epitome Archetype Guide'!$BC8</f>
        <v>0</v>
      </c>
      <c r="G8" s="74">
        <f>'Epitome Archetype Guide'!$Q8+'Epitome Archetype Guide'!$W8+'Epitome Archetype Guide'!$AB8+'Epitome Archetype Guide'!$AF8+'Epitome Archetype Guide'!$AI8+'Epitome Archetype Guide'!$AN8+'Epitome Archetype Guide'!$AQ8+'Epitome Archetype Guide'!$AU8+'Epitome Archetype Guide'!$AW8+'Epitome Archetype Guide'!$BB8</f>
        <v>0</v>
      </c>
      <c r="H8" s="69" t="str">
        <f t="shared" si="0"/>
        <v/>
      </c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ht="15.75" customHeight="1" x14ac:dyDescent="0.25">
      <c r="A9" s="73">
        <f>'Epitome Archetype Guide'!$M9</f>
        <v>0</v>
      </c>
      <c r="B9" s="73">
        <f>'Epitome Archetype Guide'!$N9</f>
        <v>0</v>
      </c>
      <c r="C9" s="73">
        <f>'Epitome Archetype Guide'!$P9</f>
        <v>0</v>
      </c>
      <c r="D9" s="74">
        <f>'Epitome Archetype Guide'!$S9+'Epitome Archetype Guide'!$U9+'Epitome Archetype Guide'!$Y9+'Epitome Archetype Guide'!$AD9+'Epitome Archetype Guide'!$AI9+'Epitome Archetype Guide'!$AM9+'Epitome Archetype Guide'!$AO9+'Epitome Archetype Guide'!$AT9+'Epitome Archetype Guide'!$AZ9+'Epitome Archetype Guide'!$BC9</f>
        <v>0</v>
      </c>
      <c r="E9" s="74">
        <f>'Epitome Archetype Guide'!$R9+'Epitome Archetype Guide'!$V9+'Epitome Archetype Guide'!$AA9+'Epitome Archetype Guide'!$AC9+'Epitome Archetype Guide'!$AG9+'Epitome Archetype Guide'!$AL9+'Epitome Archetype Guide'!$AR9+'Epitome Archetype Guide'!$AS9+'Epitome Archetype Guide'!$AX9+'Epitome Archetype Guide'!$BA9</f>
        <v>0</v>
      </c>
      <c r="F9" s="74">
        <f>'Epitome Archetype Guide'!$T9+'Epitome Archetype Guide'!$X9+'Epitome Archetype Guide'!$Z9+'Epitome Archetype Guide'!$AE9+'Epitome Archetype Guide'!$AH9+'Epitome Archetype Guide'!$AK9+'Epitome Archetype Guide'!$AP9+'Epitome Archetype Guide'!$AU9+'Epitome Archetype Guide'!$AY9+'Epitome Archetype Guide'!$BC9</f>
        <v>0</v>
      </c>
      <c r="G9" s="74">
        <f>'Epitome Archetype Guide'!$Q9+'Epitome Archetype Guide'!$W9+'Epitome Archetype Guide'!$AB9+'Epitome Archetype Guide'!$AF9+'Epitome Archetype Guide'!$AI9+'Epitome Archetype Guide'!$AN9+'Epitome Archetype Guide'!$AQ9+'Epitome Archetype Guide'!$AU9+'Epitome Archetype Guide'!$AW9+'Epitome Archetype Guide'!$BB9</f>
        <v>0</v>
      </c>
      <c r="H9" s="69" t="str">
        <f t="shared" si="0"/>
        <v/>
      </c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ht="15.75" customHeight="1" x14ac:dyDescent="0.25">
      <c r="A10" s="73">
        <f>'Epitome Archetype Guide'!$M10</f>
        <v>0</v>
      </c>
      <c r="B10" s="73">
        <f>'Epitome Archetype Guide'!$N10</f>
        <v>0</v>
      </c>
      <c r="C10" s="73">
        <f>'Epitome Archetype Guide'!$P10</f>
        <v>0</v>
      </c>
      <c r="D10" s="74">
        <f>'Epitome Archetype Guide'!$S10+'Epitome Archetype Guide'!$U10+'Epitome Archetype Guide'!$Y10+'Epitome Archetype Guide'!$AD10+'Epitome Archetype Guide'!$AI10+'Epitome Archetype Guide'!$AM10+'Epitome Archetype Guide'!$AO10+'Epitome Archetype Guide'!$AT10+'Epitome Archetype Guide'!$AZ10+'Epitome Archetype Guide'!$BC10</f>
        <v>0</v>
      </c>
      <c r="E10" s="74">
        <f>'Epitome Archetype Guide'!$R10+'Epitome Archetype Guide'!$V10+'Epitome Archetype Guide'!$AA10+'Epitome Archetype Guide'!$AC10+'Epitome Archetype Guide'!$AG10+'Epitome Archetype Guide'!$AL10+'Epitome Archetype Guide'!$AR10+'Epitome Archetype Guide'!$AS10+'Epitome Archetype Guide'!$AX10+'Epitome Archetype Guide'!$BA10</f>
        <v>0</v>
      </c>
      <c r="F10" s="74">
        <f>'Epitome Archetype Guide'!$T10+'Epitome Archetype Guide'!$X10+'Epitome Archetype Guide'!$Z10+'Epitome Archetype Guide'!$AE10+'Epitome Archetype Guide'!$AH10+'Epitome Archetype Guide'!$AK10+'Epitome Archetype Guide'!$AP10+'Epitome Archetype Guide'!$AU10+'Epitome Archetype Guide'!$AY10+'Epitome Archetype Guide'!$BC10</f>
        <v>0</v>
      </c>
      <c r="G10" s="74">
        <f>'Epitome Archetype Guide'!$Q10+'Epitome Archetype Guide'!$W10+'Epitome Archetype Guide'!$AB10+'Epitome Archetype Guide'!$AF10+'Epitome Archetype Guide'!$AI10+'Epitome Archetype Guide'!$AN10+'Epitome Archetype Guide'!$AQ10+'Epitome Archetype Guide'!$AU10+'Epitome Archetype Guide'!$AW10+'Epitome Archetype Guide'!$BB10</f>
        <v>0</v>
      </c>
      <c r="H10" s="69" t="str">
        <f t="shared" si="0"/>
        <v/>
      </c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ht="15.75" customHeight="1" x14ac:dyDescent="0.25">
      <c r="A11" s="73">
        <f>'Epitome Archetype Guide'!$M11</f>
        <v>0</v>
      </c>
      <c r="B11" s="73">
        <f>'Epitome Archetype Guide'!$N11</f>
        <v>0</v>
      </c>
      <c r="C11" s="73">
        <f>'Epitome Archetype Guide'!$P11</f>
        <v>0</v>
      </c>
      <c r="D11" s="74">
        <f>'Epitome Archetype Guide'!$S11+'Epitome Archetype Guide'!$U11+'Epitome Archetype Guide'!$Y11+'Epitome Archetype Guide'!$AD11+'Epitome Archetype Guide'!$AI11+'Epitome Archetype Guide'!$AM11+'Epitome Archetype Guide'!$AO11+'Epitome Archetype Guide'!$AT11+'Epitome Archetype Guide'!$AZ11+'Epitome Archetype Guide'!$BC11</f>
        <v>0</v>
      </c>
      <c r="E11" s="74">
        <f>'Epitome Archetype Guide'!$R11+'Epitome Archetype Guide'!$V11+'Epitome Archetype Guide'!$AA11+'Epitome Archetype Guide'!$AC11+'Epitome Archetype Guide'!$AG11+'Epitome Archetype Guide'!$AL11+'Epitome Archetype Guide'!$AR11+'Epitome Archetype Guide'!$AS11+'Epitome Archetype Guide'!$AX11+'Epitome Archetype Guide'!$BA11</f>
        <v>0</v>
      </c>
      <c r="F11" s="74">
        <f>'Epitome Archetype Guide'!$T11+'Epitome Archetype Guide'!$X11+'Epitome Archetype Guide'!$Z11+'Epitome Archetype Guide'!$AE11+'Epitome Archetype Guide'!$AH11+'Epitome Archetype Guide'!$AK11+'Epitome Archetype Guide'!$AP11+'Epitome Archetype Guide'!$AU11+'Epitome Archetype Guide'!$AY11+'Epitome Archetype Guide'!$BC11</f>
        <v>0</v>
      </c>
      <c r="G11" s="74">
        <f>'Epitome Archetype Guide'!$Q11+'Epitome Archetype Guide'!$W11+'Epitome Archetype Guide'!$AB11+'Epitome Archetype Guide'!$AF11+'Epitome Archetype Guide'!$AI11+'Epitome Archetype Guide'!$AN11+'Epitome Archetype Guide'!$AQ11+'Epitome Archetype Guide'!$AU11+'Epitome Archetype Guide'!$AW11+'Epitome Archetype Guide'!$BB11</f>
        <v>0</v>
      </c>
      <c r="H11" s="69" t="str">
        <f t="shared" si="0"/>
        <v/>
      </c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ht="15.75" customHeight="1" x14ac:dyDescent="0.25">
      <c r="A12" s="73">
        <f>'Epitome Archetype Guide'!$M12</f>
        <v>0</v>
      </c>
      <c r="B12" s="73">
        <f>'Epitome Archetype Guide'!$N12</f>
        <v>0</v>
      </c>
      <c r="C12" s="73">
        <f>'Epitome Archetype Guide'!$P12</f>
        <v>0</v>
      </c>
      <c r="D12" s="74">
        <f>'Epitome Archetype Guide'!$S12+'Epitome Archetype Guide'!$U12+'Epitome Archetype Guide'!$Y12+'Epitome Archetype Guide'!$AD12+'Epitome Archetype Guide'!$AI12+'Epitome Archetype Guide'!$AM12+'Epitome Archetype Guide'!$AO12+'Epitome Archetype Guide'!$AT12+'Epitome Archetype Guide'!$AZ12+'Epitome Archetype Guide'!$BC12</f>
        <v>0</v>
      </c>
      <c r="E12" s="74">
        <f>'Epitome Archetype Guide'!$R12+'Epitome Archetype Guide'!$V12+'Epitome Archetype Guide'!$AA12+'Epitome Archetype Guide'!$AC12+'Epitome Archetype Guide'!$AG12+'Epitome Archetype Guide'!$AL12+'Epitome Archetype Guide'!$AR12+'Epitome Archetype Guide'!$AS12+'Epitome Archetype Guide'!$AX12+'Epitome Archetype Guide'!$BA12</f>
        <v>0</v>
      </c>
      <c r="F12" s="74">
        <f>'Epitome Archetype Guide'!$T12+'Epitome Archetype Guide'!$X12+'Epitome Archetype Guide'!$Z12+'Epitome Archetype Guide'!$AE12+'Epitome Archetype Guide'!$AH12+'Epitome Archetype Guide'!$AK12+'Epitome Archetype Guide'!$AP12+'Epitome Archetype Guide'!$AU12+'Epitome Archetype Guide'!$AY12+'Epitome Archetype Guide'!$BC12</f>
        <v>0</v>
      </c>
      <c r="G12" s="74">
        <f>'Epitome Archetype Guide'!$Q12+'Epitome Archetype Guide'!$W12+'Epitome Archetype Guide'!$AB12+'Epitome Archetype Guide'!$AF12+'Epitome Archetype Guide'!$AI12+'Epitome Archetype Guide'!$AN12+'Epitome Archetype Guide'!$AQ12+'Epitome Archetype Guide'!$AU12+'Epitome Archetype Guide'!$AW12+'Epitome Archetype Guide'!$BB12</f>
        <v>0</v>
      </c>
      <c r="H12" s="69" t="str">
        <f t="shared" si="0"/>
        <v/>
      </c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ht="15.75" customHeight="1" x14ac:dyDescent="0.25">
      <c r="A13" s="73">
        <f>'Epitome Archetype Guide'!$M13</f>
        <v>0</v>
      </c>
      <c r="B13" s="73">
        <f>'Epitome Archetype Guide'!$N13</f>
        <v>0</v>
      </c>
      <c r="C13" s="73">
        <f>'Epitome Archetype Guide'!$P13</f>
        <v>0</v>
      </c>
      <c r="D13" s="74">
        <f>'Epitome Archetype Guide'!$S13+'Epitome Archetype Guide'!$U13+'Epitome Archetype Guide'!$Y13+'Epitome Archetype Guide'!$AD13+'Epitome Archetype Guide'!$AI13+'Epitome Archetype Guide'!$AM13+'Epitome Archetype Guide'!$AO13+'Epitome Archetype Guide'!$AT13+'Epitome Archetype Guide'!$AZ13+'Epitome Archetype Guide'!$BC13</f>
        <v>0</v>
      </c>
      <c r="E13" s="74">
        <f>'Epitome Archetype Guide'!$R13+'Epitome Archetype Guide'!$V13+'Epitome Archetype Guide'!$AA13+'Epitome Archetype Guide'!$AC13+'Epitome Archetype Guide'!$AG13+'Epitome Archetype Guide'!$AL13+'Epitome Archetype Guide'!$AR13+'Epitome Archetype Guide'!$AS13+'Epitome Archetype Guide'!$AX13+'Epitome Archetype Guide'!$BA13</f>
        <v>0</v>
      </c>
      <c r="F13" s="74">
        <f>'Epitome Archetype Guide'!$T13+'Epitome Archetype Guide'!$X13+'Epitome Archetype Guide'!$Z13+'Epitome Archetype Guide'!$AE13+'Epitome Archetype Guide'!$AH13+'Epitome Archetype Guide'!$AK13+'Epitome Archetype Guide'!$AP13+'Epitome Archetype Guide'!$AU13+'Epitome Archetype Guide'!$AY13+'Epitome Archetype Guide'!$BC13</f>
        <v>0</v>
      </c>
      <c r="G13" s="74">
        <f>'Epitome Archetype Guide'!$Q13+'Epitome Archetype Guide'!$W13+'Epitome Archetype Guide'!$AB13+'Epitome Archetype Guide'!$AF13+'Epitome Archetype Guide'!$AI13+'Epitome Archetype Guide'!$AN13+'Epitome Archetype Guide'!$AQ13+'Epitome Archetype Guide'!$AU13+'Epitome Archetype Guide'!$AW13+'Epitome Archetype Guide'!$BB13</f>
        <v>0</v>
      </c>
      <c r="H13" s="69" t="str">
        <f t="shared" si="0"/>
        <v/>
      </c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ht="15.75" customHeight="1" x14ac:dyDescent="0.25">
      <c r="A14" s="73">
        <f>'Epitome Archetype Guide'!$M14</f>
        <v>0</v>
      </c>
      <c r="B14" s="73">
        <f>'Epitome Archetype Guide'!$N14</f>
        <v>0</v>
      </c>
      <c r="C14" s="73">
        <f>'Epitome Archetype Guide'!$P14</f>
        <v>0</v>
      </c>
      <c r="D14" s="74">
        <f>'Epitome Archetype Guide'!$S14+'Epitome Archetype Guide'!$U14+'Epitome Archetype Guide'!$Y14+'Epitome Archetype Guide'!$AD14+'Epitome Archetype Guide'!$AI14+'Epitome Archetype Guide'!$AM14+'Epitome Archetype Guide'!$AO14+'Epitome Archetype Guide'!$AT14+'Epitome Archetype Guide'!$AZ14+'Epitome Archetype Guide'!$BC14</f>
        <v>0</v>
      </c>
      <c r="E14" s="74">
        <f>'Epitome Archetype Guide'!$R14+'Epitome Archetype Guide'!$V14+'Epitome Archetype Guide'!$AA14+'Epitome Archetype Guide'!$AC14+'Epitome Archetype Guide'!$AG14+'Epitome Archetype Guide'!$AL14+'Epitome Archetype Guide'!$AR14+'Epitome Archetype Guide'!$AS14+'Epitome Archetype Guide'!$AX14+'Epitome Archetype Guide'!$BA14</f>
        <v>0</v>
      </c>
      <c r="F14" s="74">
        <f>'Epitome Archetype Guide'!$T14+'Epitome Archetype Guide'!$X14+'Epitome Archetype Guide'!$Z14+'Epitome Archetype Guide'!$AE14+'Epitome Archetype Guide'!$AH14+'Epitome Archetype Guide'!$AK14+'Epitome Archetype Guide'!$AP14+'Epitome Archetype Guide'!$AU14+'Epitome Archetype Guide'!$AY14+'Epitome Archetype Guide'!$BC14</f>
        <v>0</v>
      </c>
      <c r="G14" s="74">
        <f>'Epitome Archetype Guide'!$Q14+'Epitome Archetype Guide'!$W14+'Epitome Archetype Guide'!$AB14+'Epitome Archetype Guide'!$AF14+'Epitome Archetype Guide'!$AI14+'Epitome Archetype Guide'!$AN14+'Epitome Archetype Guide'!$AQ14+'Epitome Archetype Guide'!$AU14+'Epitome Archetype Guide'!$AW14+'Epitome Archetype Guide'!$BB14</f>
        <v>0</v>
      </c>
      <c r="H14" s="69" t="str">
        <f t="shared" si="0"/>
        <v/>
      </c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ht="15.75" customHeight="1" x14ac:dyDescent="0.25">
      <c r="A15" s="73">
        <f>'Epitome Archetype Guide'!$M15</f>
        <v>0</v>
      </c>
      <c r="B15" s="73">
        <f>'Epitome Archetype Guide'!$N15</f>
        <v>0</v>
      </c>
      <c r="C15" s="73">
        <f>'Epitome Archetype Guide'!$P15</f>
        <v>0</v>
      </c>
      <c r="D15" s="74">
        <f>'Epitome Archetype Guide'!$S15+'Epitome Archetype Guide'!$U15+'Epitome Archetype Guide'!$Y15+'Epitome Archetype Guide'!$AD15+'Epitome Archetype Guide'!$AI15+'Epitome Archetype Guide'!$AM15+'Epitome Archetype Guide'!$AO15+'Epitome Archetype Guide'!$AT15+'Epitome Archetype Guide'!$AZ15+'Epitome Archetype Guide'!$BC15</f>
        <v>0</v>
      </c>
      <c r="E15" s="74">
        <f>'Epitome Archetype Guide'!$R15+'Epitome Archetype Guide'!$V15+'Epitome Archetype Guide'!$AA15+'Epitome Archetype Guide'!$AC15+'Epitome Archetype Guide'!$AG15+'Epitome Archetype Guide'!$AL15+'Epitome Archetype Guide'!$AR15+'Epitome Archetype Guide'!$AS15+'Epitome Archetype Guide'!$AX15+'Epitome Archetype Guide'!$BA15</f>
        <v>0</v>
      </c>
      <c r="F15" s="74">
        <f>'Epitome Archetype Guide'!$T15+'Epitome Archetype Guide'!$X15+'Epitome Archetype Guide'!$Z15+'Epitome Archetype Guide'!$AE15+'Epitome Archetype Guide'!$AH15+'Epitome Archetype Guide'!$AK15+'Epitome Archetype Guide'!$AP15+'Epitome Archetype Guide'!$AU15+'Epitome Archetype Guide'!$AY15+'Epitome Archetype Guide'!$BC15</f>
        <v>0</v>
      </c>
      <c r="G15" s="74">
        <f>'Epitome Archetype Guide'!$Q15+'Epitome Archetype Guide'!$W15+'Epitome Archetype Guide'!$AB15+'Epitome Archetype Guide'!$AF15+'Epitome Archetype Guide'!$AI15+'Epitome Archetype Guide'!$AN15+'Epitome Archetype Guide'!$AQ15+'Epitome Archetype Guide'!$AU15+'Epitome Archetype Guide'!$AW15+'Epitome Archetype Guide'!$BB15</f>
        <v>0</v>
      </c>
      <c r="H15" s="69" t="str">
        <f t="shared" si="0"/>
        <v/>
      </c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ht="15.75" customHeight="1" x14ac:dyDescent="0.25">
      <c r="A16" s="73">
        <f>'Epitome Archetype Guide'!$M16</f>
        <v>0</v>
      </c>
      <c r="B16" s="73">
        <f>'Epitome Archetype Guide'!$N16</f>
        <v>0</v>
      </c>
      <c r="C16" s="73">
        <f>'Epitome Archetype Guide'!$P16</f>
        <v>0</v>
      </c>
      <c r="D16" s="74">
        <f>'Epitome Archetype Guide'!$S16+'Epitome Archetype Guide'!$U16+'Epitome Archetype Guide'!$Y16+'Epitome Archetype Guide'!$AD16+'Epitome Archetype Guide'!$AI16+'Epitome Archetype Guide'!$AM16+'Epitome Archetype Guide'!$AO16+'Epitome Archetype Guide'!$AT16+'Epitome Archetype Guide'!$AZ16+'Epitome Archetype Guide'!$BC16</f>
        <v>0</v>
      </c>
      <c r="E16" s="74">
        <f>'Epitome Archetype Guide'!$R16+'Epitome Archetype Guide'!$V16+'Epitome Archetype Guide'!$AA16+'Epitome Archetype Guide'!$AC16+'Epitome Archetype Guide'!$AG16+'Epitome Archetype Guide'!$AL16+'Epitome Archetype Guide'!$AR16+'Epitome Archetype Guide'!$AS16+'Epitome Archetype Guide'!$AX16+'Epitome Archetype Guide'!$BA16</f>
        <v>0</v>
      </c>
      <c r="F16" s="74">
        <f>'Epitome Archetype Guide'!$T16+'Epitome Archetype Guide'!$X16+'Epitome Archetype Guide'!$Z16+'Epitome Archetype Guide'!$AE16+'Epitome Archetype Guide'!$AH16+'Epitome Archetype Guide'!$AK16+'Epitome Archetype Guide'!$AP16+'Epitome Archetype Guide'!$AU16+'Epitome Archetype Guide'!$AY16+'Epitome Archetype Guide'!$BC16</f>
        <v>0</v>
      </c>
      <c r="G16" s="74">
        <f>'Epitome Archetype Guide'!$Q16+'Epitome Archetype Guide'!$W16+'Epitome Archetype Guide'!$AB16+'Epitome Archetype Guide'!$AF16+'Epitome Archetype Guide'!$AI16+'Epitome Archetype Guide'!$AN16+'Epitome Archetype Guide'!$AQ16+'Epitome Archetype Guide'!$AU16+'Epitome Archetype Guide'!$AW16+'Epitome Archetype Guide'!$BB16</f>
        <v>0</v>
      </c>
      <c r="H16" s="69" t="str">
        <f t="shared" si="0"/>
        <v/>
      </c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</row>
    <row r="17" spans="1:52" ht="15.75" customHeight="1" x14ac:dyDescent="0.25">
      <c r="A17" s="73">
        <f>'Epitome Archetype Guide'!$M17</f>
        <v>0</v>
      </c>
      <c r="B17" s="73">
        <f>'Epitome Archetype Guide'!$N17</f>
        <v>0</v>
      </c>
      <c r="C17" s="73">
        <f>'Epitome Archetype Guide'!$P17</f>
        <v>0</v>
      </c>
      <c r="D17" s="74">
        <f>'Epitome Archetype Guide'!$S17+'Epitome Archetype Guide'!$U17+'Epitome Archetype Guide'!$Y17+'Epitome Archetype Guide'!$AD17+'Epitome Archetype Guide'!$AI17+'Epitome Archetype Guide'!$AM17+'Epitome Archetype Guide'!$AO17+'Epitome Archetype Guide'!$AT17+'Epitome Archetype Guide'!$AZ17+'Epitome Archetype Guide'!$BC17</f>
        <v>0</v>
      </c>
      <c r="E17" s="74">
        <f>'Epitome Archetype Guide'!$R17+'Epitome Archetype Guide'!$V17+'Epitome Archetype Guide'!$AA17+'Epitome Archetype Guide'!$AC17+'Epitome Archetype Guide'!$AG17+'Epitome Archetype Guide'!$AL17+'Epitome Archetype Guide'!$AR17+'Epitome Archetype Guide'!$AS17+'Epitome Archetype Guide'!$AX17+'Epitome Archetype Guide'!$BA17</f>
        <v>0</v>
      </c>
      <c r="F17" s="74">
        <f>'Epitome Archetype Guide'!$T17+'Epitome Archetype Guide'!$X17+'Epitome Archetype Guide'!$Z17+'Epitome Archetype Guide'!$AE17+'Epitome Archetype Guide'!$AH17+'Epitome Archetype Guide'!$AK17+'Epitome Archetype Guide'!$AP17+'Epitome Archetype Guide'!$AU17+'Epitome Archetype Guide'!$AY17+'Epitome Archetype Guide'!$BC17</f>
        <v>0</v>
      </c>
      <c r="G17" s="74">
        <f>'Epitome Archetype Guide'!$Q17+'Epitome Archetype Guide'!$W17+'Epitome Archetype Guide'!$AB17+'Epitome Archetype Guide'!$AF17+'Epitome Archetype Guide'!$AI17+'Epitome Archetype Guide'!$AN17+'Epitome Archetype Guide'!$AQ17+'Epitome Archetype Guide'!$AU17+'Epitome Archetype Guide'!$AW17+'Epitome Archetype Guide'!$BB17</f>
        <v>0</v>
      </c>
      <c r="H17" s="69" t="str">
        <f t="shared" si="0"/>
        <v/>
      </c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 spans="1:52" ht="15.75" customHeight="1" x14ac:dyDescent="0.25">
      <c r="A18" s="73">
        <f>'Epitome Archetype Guide'!$M18</f>
        <v>0</v>
      </c>
      <c r="B18" s="73">
        <f>'Epitome Archetype Guide'!$N18</f>
        <v>0</v>
      </c>
      <c r="C18" s="73">
        <f>'Epitome Archetype Guide'!$P18</f>
        <v>0</v>
      </c>
      <c r="D18" s="74">
        <f>'Epitome Archetype Guide'!$S18+'Epitome Archetype Guide'!$U18+'Epitome Archetype Guide'!$Y18+'Epitome Archetype Guide'!$AD18+'Epitome Archetype Guide'!$AI18+'Epitome Archetype Guide'!$AM18+'Epitome Archetype Guide'!$AO18+'Epitome Archetype Guide'!$AT18+'Epitome Archetype Guide'!$AZ18+'Epitome Archetype Guide'!$BC18</f>
        <v>0</v>
      </c>
      <c r="E18" s="74">
        <f>'Epitome Archetype Guide'!$R18+'Epitome Archetype Guide'!$V18+'Epitome Archetype Guide'!$AA18+'Epitome Archetype Guide'!$AC18+'Epitome Archetype Guide'!$AG18+'Epitome Archetype Guide'!$AL18+'Epitome Archetype Guide'!$AR18+'Epitome Archetype Guide'!$AS18+'Epitome Archetype Guide'!$AX18+'Epitome Archetype Guide'!$BA18</f>
        <v>0</v>
      </c>
      <c r="F18" s="74">
        <f>'Epitome Archetype Guide'!$T18+'Epitome Archetype Guide'!$X18+'Epitome Archetype Guide'!$Z18+'Epitome Archetype Guide'!$AE18+'Epitome Archetype Guide'!$AH18+'Epitome Archetype Guide'!$AK18+'Epitome Archetype Guide'!$AP18+'Epitome Archetype Guide'!$AU18+'Epitome Archetype Guide'!$AY18+'Epitome Archetype Guide'!$BC18</f>
        <v>0</v>
      </c>
      <c r="G18" s="74">
        <f>'Epitome Archetype Guide'!$Q18+'Epitome Archetype Guide'!$W18+'Epitome Archetype Guide'!$AB18+'Epitome Archetype Guide'!$AF18+'Epitome Archetype Guide'!$AI18+'Epitome Archetype Guide'!$AN18+'Epitome Archetype Guide'!$AQ18+'Epitome Archetype Guide'!$AU18+'Epitome Archetype Guide'!$AW18+'Epitome Archetype Guide'!$BB18</f>
        <v>0</v>
      </c>
      <c r="H18" s="69" t="str">
        <f t="shared" si="0"/>
        <v/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</row>
    <row r="19" spans="1:52" ht="15.75" customHeight="1" x14ac:dyDescent="0.25">
      <c r="A19" s="73">
        <f>'Epitome Archetype Guide'!$M19</f>
        <v>0</v>
      </c>
      <c r="B19" s="73">
        <f>'Epitome Archetype Guide'!$N19</f>
        <v>0</v>
      </c>
      <c r="C19" s="73">
        <f>'Epitome Archetype Guide'!$P19</f>
        <v>0</v>
      </c>
      <c r="D19" s="74">
        <f>'Epitome Archetype Guide'!$S19+'Epitome Archetype Guide'!$U19+'Epitome Archetype Guide'!$Y19+'Epitome Archetype Guide'!$AD19+'Epitome Archetype Guide'!$AI19+'Epitome Archetype Guide'!$AM19+'Epitome Archetype Guide'!$AO19+'Epitome Archetype Guide'!$AT19+'Epitome Archetype Guide'!$AZ19+'Epitome Archetype Guide'!$BC19</f>
        <v>0</v>
      </c>
      <c r="E19" s="74">
        <f>'Epitome Archetype Guide'!$R19+'Epitome Archetype Guide'!$V19+'Epitome Archetype Guide'!$AA19+'Epitome Archetype Guide'!$AC19+'Epitome Archetype Guide'!$AG19+'Epitome Archetype Guide'!$AL19+'Epitome Archetype Guide'!$AR19+'Epitome Archetype Guide'!$AS19+'Epitome Archetype Guide'!$AX19+'Epitome Archetype Guide'!$BA19</f>
        <v>0</v>
      </c>
      <c r="F19" s="74">
        <f>'Epitome Archetype Guide'!$T19+'Epitome Archetype Guide'!$X19+'Epitome Archetype Guide'!$Z19+'Epitome Archetype Guide'!$AE19+'Epitome Archetype Guide'!$AH19+'Epitome Archetype Guide'!$AK19+'Epitome Archetype Guide'!$AP19+'Epitome Archetype Guide'!$AU19+'Epitome Archetype Guide'!$AY19+'Epitome Archetype Guide'!$BC19</f>
        <v>0</v>
      </c>
      <c r="G19" s="74">
        <f>'Epitome Archetype Guide'!$Q19+'Epitome Archetype Guide'!$W19+'Epitome Archetype Guide'!$AB19+'Epitome Archetype Guide'!$AF19+'Epitome Archetype Guide'!$AI19+'Epitome Archetype Guide'!$AN19+'Epitome Archetype Guide'!$AQ19+'Epitome Archetype Guide'!$AU19+'Epitome Archetype Guide'!$AW19+'Epitome Archetype Guide'!$BB19</f>
        <v>0</v>
      </c>
      <c r="H19" s="69" t="str">
        <f t="shared" si="0"/>
        <v/>
      </c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</row>
    <row r="20" spans="1:52" ht="15.75" customHeight="1" x14ac:dyDescent="0.25">
      <c r="A20" s="73">
        <f>'Epitome Archetype Guide'!$M20</f>
        <v>0</v>
      </c>
      <c r="B20" s="73">
        <f>'Epitome Archetype Guide'!$N20</f>
        <v>0</v>
      </c>
      <c r="C20" s="73">
        <f>'Epitome Archetype Guide'!$P20</f>
        <v>0</v>
      </c>
      <c r="D20" s="74">
        <f>'Epitome Archetype Guide'!$S20+'Epitome Archetype Guide'!$U20+'Epitome Archetype Guide'!$Y20+'Epitome Archetype Guide'!$AD20+'Epitome Archetype Guide'!$AI20+'Epitome Archetype Guide'!$AM20+'Epitome Archetype Guide'!$AO20+'Epitome Archetype Guide'!$AT20+'Epitome Archetype Guide'!$AZ20+'Epitome Archetype Guide'!$BC20</f>
        <v>0</v>
      </c>
      <c r="E20" s="74">
        <f>'Epitome Archetype Guide'!$R20+'Epitome Archetype Guide'!$V20+'Epitome Archetype Guide'!$AA20+'Epitome Archetype Guide'!$AC20+'Epitome Archetype Guide'!$AG20+'Epitome Archetype Guide'!$AL20+'Epitome Archetype Guide'!$AR20+'Epitome Archetype Guide'!$AS20+'Epitome Archetype Guide'!$AX20+'Epitome Archetype Guide'!$BA20</f>
        <v>0</v>
      </c>
      <c r="F20" s="74">
        <f>'Epitome Archetype Guide'!$T20+'Epitome Archetype Guide'!$X20+'Epitome Archetype Guide'!$Z20+'Epitome Archetype Guide'!$AE20+'Epitome Archetype Guide'!$AH20+'Epitome Archetype Guide'!$AK20+'Epitome Archetype Guide'!$AP20+'Epitome Archetype Guide'!$AU20+'Epitome Archetype Guide'!$AY20+'Epitome Archetype Guide'!$BC20</f>
        <v>0</v>
      </c>
      <c r="G20" s="74">
        <f>'Epitome Archetype Guide'!$Q20+'Epitome Archetype Guide'!$W20+'Epitome Archetype Guide'!$AB20+'Epitome Archetype Guide'!$AF20+'Epitome Archetype Guide'!$AI20+'Epitome Archetype Guide'!$AN20+'Epitome Archetype Guide'!$AQ20+'Epitome Archetype Guide'!$AU20+'Epitome Archetype Guide'!$AW20+'Epitome Archetype Guide'!$BB20</f>
        <v>0</v>
      </c>
      <c r="H20" s="69" t="str">
        <f t="shared" si="0"/>
        <v/>
      </c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</row>
    <row r="21" spans="1:52" ht="15.75" customHeight="1" x14ac:dyDescent="0.25">
      <c r="A21" s="73">
        <f>'Epitome Archetype Guide'!$M21</f>
        <v>0</v>
      </c>
      <c r="B21" s="73">
        <f>'Epitome Archetype Guide'!$N21</f>
        <v>0</v>
      </c>
      <c r="C21" s="73">
        <f>'Epitome Archetype Guide'!$P21</f>
        <v>0</v>
      </c>
      <c r="D21" s="74">
        <f>'Epitome Archetype Guide'!$S21+'Epitome Archetype Guide'!$U21+'Epitome Archetype Guide'!$Y21+'Epitome Archetype Guide'!$AD21+'Epitome Archetype Guide'!$AI21+'Epitome Archetype Guide'!$AM21+'Epitome Archetype Guide'!$AO21+'Epitome Archetype Guide'!$AT21+'Epitome Archetype Guide'!$AZ21+'Epitome Archetype Guide'!$BC21</f>
        <v>0</v>
      </c>
      <c r="E21" s="74">
        <f>'Epitome Archetype Guide'!$R21+'Epitome Archetype Guide'!$V21+'Epitome Archetype Guide'!$AA21+'Epitome Archetype Guide'!$AC21+'Epitome Archetype Guide'!$AG21+'Epitome Archetype Guide'!$AL21+'Epitome Archetype Guide'!$AR21+'Epitome Archetype Guide'!$AS21+'Epitome Archetype Guide'!$AX21+'Epitome Archetype Guide'!$BA21</f>
        <v>0</v>
      </c>
      <c r="F21" s="74">
        <f>'Epitome Archetype Guide'!$T21+'Epitome Archetype Guide'!$X21+'Epitome Archetype Guide'!$Z21+'Epitome Archetype Guide'!$AE21+'Epitome Archetype Guide'!$AH21+'Epitome Archetype Guide'!$AK21+'Epitome Archetype Guide'!$AP21+'Epitome Archetype Guide'!$AU21+'Epitome Archetype Guide'!$AY21+'Epitome Archetype Guide'!$BC21</f>
        <v>0</v>
      </c>
      <c r="G21" s="74">
        <f>'Epitome Archetype Guide'!$Q21+'Epitome Archetype Guide'!$W21+'Epitome Archetype Guide'!$AB21+'Epitome Archetype Guide'!$AF21+'Epitome Archetype Guide'!$AI21+'Epitome Archetype Guide'!$AN21+'Epitome Archetype Guide'!$AQ21+'Epitome Archetype Guide'!$AU21+'Epitome Archetype Guide'!$AW21+'Epitome Archetype Guide'!$BB21</f>
        <v>0</v>
      </c>
      <c r="H21" s="69" t="str">
        <f t="shared" si="0"/>
        <v/>
      </c>
      <c r="I21" s="71"/>
      <c r="J21" s="71"/>
    </row>
    <row r="22" spans="1:52" x14ac:dyDescent="0.2">
      <c r="H22" s="104"/>
      <c r="J22" s="71" t="s">
        <v>199</v>
      </c>
    </row>
    <row r="23" spans="1:52" ht="15.75" customHeight="1" x14ac:dyDescent="0.15">
      <c r="H23" s="104"/>
    </row>
    <row r="24" spans="1:52" ht="15.75" customHeight="1" x14ac:dyDescent="0.15">
      <c r="H24" s="104"/>
    </row>
    <row r="25" spans="1:52" ht="15.75" customHeight="1" x14ac:dyDescent="0.15">
      <c r="H25" s="104"/>
    </row>
    <row r="26" spans="1:52" ht="15.75" customHeight="1" x14ac:dyDescent="0.15">
      <c r="H26" s="104"/>
    </row>
    <row r="27" spans="1:52" ht="15.75" customHeight="1" x14ac:dyDescent="0.15">
      <c r="H27" s="104"/>
    </row>
    <row r="28" spans="1:52" ht="15.75" customHeight="1" x14ac:dyDescent="0.15">
      <c r="H28" s="104"/>
    </row>
    <row r="29" spans="1:52" ht="15.75" customHeight="1" x14ac:dyDescent="0.15">
      <c r="H29" s="104"/>
    </row>
    <row r="30" spans="1:52" ht="15.75" customHeight="1" x14ac:dyDescent="0.15">
      <c r="H30" s="104"/>
    </row>
    <row r="31" spans="1:52" ht="15.75" customHeight="1" x14ac:dyDescent="0.15">
      <c r="H31" s="104"/>
    </row>
    <row r="32" spans="1:52" ht="15.75" customHeight="1" x14ac:dyDescent="0.15">
      <c r="H32" s="104"/>
    </row>
    <row r="33" spans="8:8" ht="15.75" customHeight="1" x14ac:dyDescent="0.15">
      <c r="H33" s="104"/>
    </row>
    <row r="34" spans="8:8" ht="15.75" customHeight="1" x14ac:dyDescent="0.15">
      <c r="H34" s="104"/>
    </row>
    <row r="35" spans="8:8" ht="15.75" customHeight="1" x14ac:dyDescent="0.15">
      <c r="H35" s="104"/>
    </row>
    <row r="36" spans="8:8" ht="15.75" customHeight="1" x14ac:dyDescent="0.15">
      <c r="H36" s="104"/>
    </row>
    <row r="37" spans="8:8" ht="15.75" customHeight="1" x14ac:dyDescent="0.15">
      <c r="H37" s="104"/>
    </row>
    <row r="38" spans="8:8" ht="15.75" customHeight="1" x14ac:dyDescent="0.15">
      <c r="H38" s="104"/>
    </row>
    <row r="39" spans="8:8" ht="15.75" customHeight="1" x14ac:dyDescent="0.15">
      <c r="H39" s="104"/>
    </row>
    <row r="40" spans="8:8" ht="15.75" customHeight="1" x14ac:dyDescent="0.15">
      <c r="H40" s="104"/>
    </row>
    <row r="41" spans="8:8" ht="15.75" customHeight="1" x14ac:dyDescent="0.15">
      <c r="H41" s="104"/>
    </row>
    <row r="42" spans="8:8" ht="15.75" customHeight="1" x14ac:dyDescent="0.15">
      <c r="H42" s="104"/>
    </row>
    <row r="43" spans="8:8" ht="15.75" customHeight="1" x14ac:dyDescent="0.15">
      <c r="H43" s="104"/>
    </row>
    <row r="44" spans="8:8" ht="15.75" customHeight="1" x14ac:dyDescent="0.15">
      <c r="H44" s="104"/>
    </row>
    <row r="45" spans="8:8" ht="15.75" customHeight="1" x14ac:dyDescent="0.15">
      <c r="H45" s="104"/>
    </row>
    <row r="46" spans="8:8" ht="15.75" customHeight="1" x14ac:dyDescent="0.15">
      <c r="H46" s="104"/>
    </row>
    <row r="47" spans="8:8" ht="15.75" customHeight="1" x14ac:dyDescent="0.15">
      <c r="H47" s="104"/>
    </row>
    <row r="48" spans="8:8" ht="15.75" customHeight="1" x14ac:dyDescent="0.15">
      <c r="H48" s="104"/>
    </row>
    <row r="49" spans="8:8" ht="15.75" customHeight="1" x14ac:dyDescent="0.15">
      <c r="H49" s="104"/>
    </row>
    <row r="50" spans="8:8" ht="15.75" customHeight="1" x14ac:dyDescent="0.15">
      <c r="H50" s="104"/>
    </row>
    <row r="51" spans="8:8" ht="15.75" customHeight="1" x14ac:dyDescent="0.15">
      <c r="H51" s="104"/>
    </row>
    <row r="52" spans="8:8" ht="15.75" customHeight="1" x14ac:dyDescent="0.15">
      <c r="H52" s="104"/>
    </row>
    <row r="53" spans="8:8" ht="15.75" customHeight="1" x14ac:dyDescent="0.15">
      <c r="H53" s="104"/>
    </row>
    <row r="54" spans="8:8" ht="15.75" customHeight="1" x14ac:dyDescent="0.15">
      <c r="H54" s="104"/>
    </row>
    <row r="55" spans="8:8" ht="13" x14ac:dyDescent="0.15">
      <c r="H55" s="104"/>
    </row>
    <row r="56" spans="8:8" ht="13" x14ac:dyDescent="0.15">
      <c r="H56" s="104"/>
    </row>
    <row r="57" spans="8:8" ht="13" x14ac:dyDescent="0.15">
      <c r="H57" s="104"/>
    </row>
    <row r="58" spans="8:8" ht="13" x14ac:dyDescent="0.15">
      <c r="H58" s="104"/>
    </row>
    <row r="59" spans="8:8" ht="13" x14ac:dyDescent="0.15">
      <c r="H59" s="104"/>
    </row>
    <row r="60" spans="8:8" ht="13" x14ac:dyDescent="0.15">
      <c r="H60" s="104"/>
    </row>
    <row r="61" spans="8:8" ht="13" x14ac:dyDescent="0.15">
      <c r="H61" s="104"/>
    </row>
    <row r="62" spans="8:8" ht="13" x14ac:dyDescent="0.15">
      <c r="H62" s="104"/>
    </row>
    <row r="63" spans="8:8" ht="13" x14ac:dyDescent="0.15">
      <c r="H63" s="104"/>
    </row>
    <row r="64" spans="8:8" ht="13" x14ac:dyDescent="0.15">
      <c r="H64" s="104"/>
    </row>
    <row r="65" spans="8:8" ht="13" x14ac:dyDescent="0.15">
      <c r="H65" s="104"/>
    </row>
    <row r="66" spans="8:8" ht="13" x14ac:dyDescent="0.15">
      <c r="H66" s="104"/>
    </row>
    <row r="67" spans="8:8" ht="13" x14ac:dyDescent="0.15">
      <c r="H67" s="104"/>
    </row>
    <row r="68" spans="8:8" ht="13" x14ac:dyDescent="0.15">
      <c r="H68" s="104"/>
    </row>
    <row r="69" spans="8:8" ht="13" x14ac:dyDescent="0.15">
      <c r="H69" s="104"/>
    </row>
    <row r="70" spans="8:8" ht="13" x14ac:dyDescent="0.15">
      <c r="H70" s="104"/>
    </row>
    <row r="71" spans="8:8" ht="13" x14ac:dyDescent="0.15">
      <c r="H71" s="104"/>
    </row>
    <row r="72" spans="8:8" ht="13" x14ac:dyDescent="0.15">
      <c r="H72" s="104"/>
    </row>
    <row r="73" spans="8:8" ht="13" x14ac:dyDescent="0.15">
      <c r="H73" s="104"/>
    </row>
    <row r="74" spans="8:8" ht="13" x14ac:dyDescent="0.15">
      <c r="H74" s="104"/>
    </row>
    <row r="75" spans="8:8" ht="13" x14ac:dyDescent="0.15">
      <c r="H75" s="104"/>
    </row>
    <row r="76" spans="8:8" ht="13" x14ac:dyDescent="0.15">
      <c r="H76" s="104"/>
    </row>
    <row r="77" spans="8:8" ht="13" x14ac:dyDescent="0.15">
      <c r="H77" s="104"/>
    </row>
    <row r="78" spans="8:8" ht="13" x14ac:dyDescent="0.15">
      <c r="H78" s="104"/>
    </row>
    <row r="79" spans="8:8" ht="13" x14ac:dyDescent="0.15">
      <c r="H79" s="104"/>
    </row>
    <row r="80" spans="8:8" ht="13" x14ac:dyDescent="0.15">
      <c r="H80" s="104"/>
    </row>
    <row r="81" spans="8:8" ht="13" x14ac:dyDescent="0.15">
      <c r="H81" s="104"/>
    </row>
    <row r="82" spans="8:8" ht="13" x14ac:dyDescent="0.15">
      <c r="H82" s="104"/>
    </row>
    <row r="83" spans="8:8" ht="13" x14ac:dyDescent="0.15">
      <c r="H83" s="104"/>
    </row>
    <row r="84" spans="8:8" ht="13" x14ac:dyDescent="0.15">
      <c r="H84" s="104"/>
    </row>
    <row r="85" spans="8:8" ht="13" x14ac:dyDescent="0.15">
      <c r="H85" s="104"/>
    </row>
    <row r="86" spans="8:8" ht="13" x14ac:dyDescent="0.15">
      <c r="H86" s="104"/>
    </row>
    <row r="87" spans="8:8" ht="13" x14ac:dyDescent="0.15">
      <c r="H87" s="104"/>
    </row>
    <row r="88" spans="8:8" ht="13" x14ac:dyDescent="0.15">
      <c r="H88" s="104"/>
    </row>
    <row r="89" spans="8:8" ht="13" x14ac:dyDescent="0.15">
      <c r="H89" s="104"/>
    </row>
    <row r="90" spans="8:8" ht="13" x14ac:dyDescent="0.15">
      <c r="H90" s="104"/>
    </row>
    <row r="91" spans="8:8" ht="13" x14ac:dyDescent="0.15">
      <c r="H91" s="104"/>
    </row>
    <row r="92" spans="8:8" ht="13" x14ac:dyDescent="0.15">
      <c r="H92" s="104"/>
    </row>
    <row r="93" spans="8:8" ht="13" x14ac:dyDescent="0.15">
      <c r="H93" s="104"/>
    </row>
    <row r="94" spans="8:8" ht="13" x14ac:dyDescent="0.15">
      <c r="H94" s="104"/>
    </row>
    <row r="95" spans="8:8" ht="13" x14ac:dyDescent="0.15">
      <c r="H95" s="104"/>
    </row>
    <row r="96" spans="8:8" ht="13" x14ac:dyDescent="0.15">
      <c r="H96" s="104"/>
    </row>
    <row r="97" spans="8:8" ht="13" x14ac:dyDescent="0.15">
      <c r="H97" s="104"/>
    </row>
    <row r="98" spans="8:8" ht="13" x14ac:dyDescent="0.15">
      <c r="H98" s="104"/>
    </row>
    <row r="99" spans="8:8" ht="13" x14ac:dyDescent="0.15">
      <c r="H99" s="104"/>
    </row>
    <row r="100" spans="8:8" ht="13" x14ac:dyDescent="0.15">
      <c r="H100" s="104"/>
    </row>
    <row r="101" spans="8:8" ht="13" x14ac:dyDescent="0.15">
      <c r="H101" s="104"/>
    </row>
    <row r="102" spans="8:8" ht="13" x14ac:dyDescent="0.15">
      <c r="H102" s="104"/>
    </row>
    <row r="103" spans="8:8" ht="13" x14ac:dyDescent="0.15">
      <c r="H103" s="104"/>
    </row>
    <row r="104" spans="8:8" ht="13" x14ac:dyDescent="0.15">
      <c r="H104" s="104"/>
    </row>
    <row r="105" spans="8:8" ht="13" x14ac:dyDescent="0.15">
      <c r="H105" s="104"/>
    </row>
    <row r="106" spans="8:8" ht="13" x14ac:dyDescent="0.15">
      <c r="H106" s="104"/>
    </row>
    <row r="107" spans="8:8" ht="13" x14ac:dyDescent="0.15">
      <c r="H107" s="104"/>
    </row>
    <row r="108" spans="8:8" ht="13" x14ac:dyDescent="0.15">
      <c r="H108" s="104"/>
    </row>
    <row r="109" spans="8:8" ht="13" x14ac:dyDescent="0.15">
      <c r="H109" s="104"/>
    </row>
    <row r="110" spans="8:8" ht="13" x14ac:dyDescent="0.15">
      <c r="H110" s="104"/>
    </row>
    <row r="111" spans="8:8" ht="13" x14ac:dyDescent="0.15">
      <c r="H111" s="104"/>
    </row>
    <row r="112" spans="8:8" ht="13" x14ac:dyDescent="0.15">
      <c r="H112" s="104"/>
    </row>
    <row r="113" spans="8:8" ht="13" x14ac:dyDescent="0.15">
      <c r="H113" s="104"/>
    </row>
    <row r="114" spans="8:8" ht="13" x14ac:dyDescent="0.15">
      <c r="H114" s="104"/>
    </row>
    <row r="115" spans="8:8" ht="13" x14ac:dyDescent="0.15">
      <c r="H115" s="104"/>
    </row>
    <row r="116" spans="8:8" ht="13" x14ac:dyDescent="0.15">
      <c r="H116" s="104"/>
    </row>
    <row r="117" spans="8:8" ht="13" x14ac:dyDescent="0.15">
      <c r="H117" s="104"/>
    </row>
    <row r="118" spans="8:8" ht="13" x14ac:dyDescent="0.15">
      <c r="H118" s="104"/>
    </row>
    <row r="119" spans="8:8" ht="13" x14ac:dyDescent="0.15">
      <c r="H119" s="104"/>
    </row>
    <row r="120" spans="8:8" ht="13" x14ac:dyDescent="0.15">
      <c r="H120" s="104"/>
    </row>
    <row r="121" spans="8:8" ht="13" x14ac:dyDescent="0.15">
      <c r="H121" s="104"/>
    </row>
    <row r="122" spans="8:8" ht="13" x14ac:dyDescent="0.15">
      <c r="H122" s="104"/>
    </row>
    <row r="123" spans="8:8" ht="13" x14ac:dyDescent="0.15">
      <c r="H123" s="104"/>
    </row>
    <row r="124" spans="8:8" ht="13" x14ac:dyDescent="0.15">
      <c r="H124" s="104"/>
    </row>
    <row r="125" spans="8:8" ht="13" x14ac:dyDescent="0.15">
      <c r="H125" s="104"/>
    </row>
    <row r="126" spans="8:8" ht="13" x14ac:dyDescent="0.15">
      <c r="H126" s="104"/>
    </row>
    <row r="127" spans="8:8" ht="13" x14ac:dyDescent="0.15">
      <c r="H127" s="104"/>
    </row>
    <row r="128" spans="8:8" ht="13" x14ac:dyDescent="0.15">
      <c r="H128" s="104"/>
    </row>
    <row r="129" spans="8:8" ht="13" x14ac:dyDescent="0.15">
      <c r="H129" s="104"/>
    </row>
    <row r="130" spans="8:8" ht="13" x14ac:dyDescent="0.15">
      <c r="H130" s="104"/>
    </row>
    <row r="131" spans="8:8" ht="13" x14ac:dyDescent="0.15">
      <c r="H131" s="104"/>
    </row>
    <row r="132" spans="8:8" ht="13" x14ac:dyDescent="0.15">
      <c r="H132" s="104"/>
    </row>
    <row r="133" spans="8:8" ht="13" x14ac:dyDescent="0.15">
      <c r="H133" s="104"/>
    </row>
    <row r="134" spans="8:8" ht="13" x14ac:dyDescent="0.15">
      <c r="H134" s="104"/>
    </row>
    <row r="135" spans="8:8" ht="13" x14ac:dyDescent="0.15">
      <c r="H135" s="104"/>
    </row>
    <row r="136" spans="8:8" ht="13" x14ac:dyDescent="0.15">
      <c r="H136" s="104"/>
    </row>
    <row r="137" spans="8:8" ht="13" x14ac:dyDescent="0.15">
      <c r="H137" s="104"/>
    </row>
    <row r="138" spans="8:8" ht="13" x14ac:dyDescent="0.15">
      <c r="H138" s="104"/>
    </row>
    <row r="139" spans="8:8" ht="13" x14ac:dyDescent="0.15">
      <c r="H139" s="104"/>
    </row>
    <row r="140" spans="8:8" ht="13" x14ac:dyDescent="0.15">
      <c r="H140" s="104"/>
    </row>
    <row r="141" spans="8:8" ht="13" x14ac:dyDescent="0.15">
      <c r="H141" s="104"/>
    </row>
    <row r="142" spans="8:8" ht="13" x14ac:dyDescent="0.15">
      <c r="H142" s="104"/>
    </row>
    <row r="143" spans="8:8" ht="13" x14ac:dyDescent="0.15">
      <c r="H143" s="104"/>
    </row>
    <row r="144" spans="8:8" ht="13" x14ac:dyDescent="0.15">
      <c r="H144" s="104"/>
    </row>
    <row r="145" spans="8:8" ht="13" x14ac:dyDescent="0.15">
      <c r="H145" s="104"/>
    </row>
    <row r="146" spans="8:8" ht="13" x14ac:dyDescent="0.15">
      <c r="H146" s="104"/>
    </row>
    <row r="147" spans="8:8" ht="13" x14ac:dyDescent="0.15">
      <c r="H147" s="104"/>
    </row>
    <row r="148" spans="8:8" ht="13" x14ac:dyDescent="0.15">
      <c r="H148" s="104"/>
    </row>
    <row r="149" spans="8:8" ht="13" x14ac:dyDescent="0.15">
      <c r="H149" s="104"/>
    </row>
    <row r="150" spans="8:8" ht="13" x14ac:dyDescent="0.15">
      <c r="H150" s="104"/>
    </row>
    <row r="151" spans="8:8" ht="13" x14ac:dyDescent="0.15">
      <c r="H151" s="104"/>
    </row>
    <row r="152" spans="8:8" ht="13" x14ac:dyDescent="0.15">
      <c r="H152" s="104"/>
    </row>
    <row r="153" spans="8:8" ht="13" x14ac:dyDescent="0.15">
      <c r="H153" s="104"/>
    </row>
    <row r="154" spans="8:8" ht="13" x14ac:dyDescent="0.15">
      <c r="H154" s="104"/>
    </row>
    <row r="155" spans="8:8" ht="13" x14ac:dyDescent="0.15">
      <c r="H155" s="104"/>
    </row>
    <row r="156" spans="8:8" ht="13" x14ac:dyDescent="0.15">
      <c r="H156" s="104"/>
    </row>
    <row r="157" spans="8:8" ht="13" x14ac:dyDescent="0.15">
      <c r="H157" s="104"/>
    </row>
    <row r="158" spans="8:8" ht="13" x14ac:dyDescent="0.15">
      <c r="H158" s="104"/>
    </row>
    <row r="159" spans="8:8" ht="13" x14ac:dyDescent="0.15">
      <c r="H159" s="104"/>
    </row>
    <row r="160" spans="8:8" ht="13" x14ac:dyDescent="0.15">
      <c r="H160" s="104"/>
    </row>
    <row r="161" spans="8:8" ht="13" x14ac:dyDescent="0.15">
      <c r="H161" s="104"/>
    </row>
    <row r="162" spans="8:8" ht="13" x14ac:dyDescent="0.15">
      <c r="H162" s="104"/>
    </row>
    <row r="163" spans="8:8" ht="13" x14ac:dyDescent="0.15">
      <c r="H163" s="104"/>
    </row>
    <row r="164" spans="8:8" ht="13" x14ac:dyDescent="0.15">
      <c r="H164" s="104"/>
    </row>
    <row r="165" spans="8:8" ht="13" x14ac:dyDescent="0.15">
      <c r="H165" s="104"/>
    </row>
    <row r="166" spans="8:8" ht="13" x14ac:dyDescent="0.15">
      <c r="H166" s="104"/>
    </row>
    <row r="167" spans="8:8" ht="13" x14ac:dyDescent="0.15">
      <c r="H167" s="104"/>
    </row>
    <row r="168" spans="8:8" ht="13" x14ac:dyDescent="0.15">
      <c r="H168" s="104"/>
    </row>
    <row r="169" spans="8:8" ht="13" x14ac:dyDescent="0.15">
      <c r="H169" s="104"/>
    </row>
    <row r="170" spans="8:8" ht="13" x14ac:dyDescent="0.15">
      <c r="H170" s="104"/>
    </row>
    <row r="171" spans="8:8" ht="13" x14ac:dyDescent="0.15">
      <c r="H171" s="104"/>
    </row>
    <row r="172" spans="8:8" ht="13" x14ac:dyDescent="0.15">
      <c r="H172" s="104"/>
    </row>
    <row r="173" spans="8:8" ht="13" x14ac:dyDescent="0.15">
      <c r="H173" s="104"/>
    </row>
    <row r="174" spans="8:8" ht="13" x14ac:dyDescent="0.15">
      <c r="H174" s="104"/>
    </row>
    <row r="175" spans="8:8" ht="13" x14ac:dyDescent="0.15">
      <c r="H175" s="104"/>
    </row>
    <row r="176" spans="8:8" ht="13" x14ac:dyDescent="0.15">
      <c r="H176" s="104"/>
    </row>
    <row r="177" spans="8:8" ht="13" x14ac:dyDescent="0.15">
      <c r="H177" s="104"/>
    </row>
    <row r="178" spans="8:8" ht="13" x14ac:dyDescent="0.15">
      <c r="H178" s="104"/>
    </row>
    <row r="179" spans="8:8" ht="13" x14ac:dyDescent="0.15">
      <c r="H179" s="104"/>
    </row>
    <row r="180" spans="8:8" ht="13" x14ac:dyDescent="0.15">
      <c r="H180" s="104"/>
    </row>
    <row r="181" spans="8:8" ht="13" x14ac:dyDescent="0.15">
      <c r="H181" s="104"/>
    </row>
    <row r="182" spans="8:8" ht="13" x14ac:dyDescent="0.15">
      <c r="H182" s="104"/>
    </row>
    <row r="183" spans="8:8" ht="13" x14ac:dyDescent="0.15">
      <c r="H183" s="104"/>
    </row>
    <row r="184" spans="8:8" ht="13" x14ac:dyDescent="0.15">
      <c r="H184" s="104"/>
    </row>
    <row r="185" spans="8:8" ht="13" x14ac:dyDescent="0.15">
      <c r="H185" s="104"/>
    </row>
    <row r="186" spans="8:8" ht="13" x14ac:dyDescent="0.15">
      <c r="H186" s="104"/>
    </row>
    <row r="187" spans="8:8" ht="13" x14ac:dyDescent="0.15">
      <c r="H187" s="104"/>
    </row>
    <row r="188" spans="8:8" ht="13" x14ac:dyDescent="0.15">
      <c r="H188" s="104"/>
    </row>
    <row r="189" spans="8:8" ht="13" x14ac:dyDescent="0.15">
      <c r="H189" s="104"/>
    </row>
    <row r="190" spans="8:8" ht="13" x14ac:dyDescent="0.15">
      <c r="H190" s="104"/>
    </row>
    <row r="191" spans="8:8" ht="13" x14ac:dyDescent="0.15">
      <c r="H191" s="104"/>
    </row>
    <row r="192" spans="8:8" ht="13" x14ac:dyDescent="0.15">
      <c r="H192" s="104"/>
    </row>
    <row r="193" spans="8:8" ht="13" x14ac:dyDescent="0.15">
      <c r="H193" s="104"/>
    </row>
    <row r="194" spans="8:8" ht="13" x14ac:dyDescent="0.15">
      <c r="H194" s="104"/>
    </row>
    <row r="195" spans="8:8" ht="13" x14ac:dyDescent="0.15">
      <c r="H195" s="104"/>
    </row>
    <row r="196" spans="8:8" ht="13" x14ac:dyDescent="0.15">
      <c r="H196" s="104"/>
    </row>
    <row r="197" spans="8:8" ht="13" x14ac:dyDescent="0.15">
      <c r="H197" s="104"/>
    </row>
    <row r="198" spans="8:8" ht="13" x14ac:dyDescent="0.15">
      <c r="H198" s="104"/>
    </row>
    <row r="199" spans="8:8" ht="13" x14ac:dyDescent="0.15">
      <c r="H199" s="104"/>
    </row>
    <row r="200" spans="8:8" ht="13" x14ac:dyDescent="0.15">
      <c r="H200" s="104"/>
    </row>
    <row r="201" spans="8:8" ht="13" x14ac:dyDescent="0.15">
      <c r="H201" s="104"/>
    </row>
    <row r="202" spans="8:8" ht="13" x14ac:dyDescent="0.15">
      <c r="H202" s="104"/>
    </row>
    <row r="203" spans="8:8" ht="13" x14ac:dyDescent="0.15">
      <c r="H203" s="104"/>
    </row>
    <row r="204" spans="8:8" ht="13" x14ac:dyDescent="0.15">
      <c r="H204" s="104"/>
    </row>
    <row r="205" spans="8:8" ht="13" x14ac:dyDescent="0.15">
      <c r="H205" s="104"/>
    </row>
    <row r="206" spans="8:8" ht="13" x14ac:dyDescent="0.15">
      <c r="H206" s="104"/>
    </row>
    <row r="207" spans="8:8" ht="13" x14ac:dyDescent="0.15">
      <c r="H207" s="104"/>
    </row>
    <row r="208" spans="8:8" ht="13" x14ac:dyDescent="0.15">
      <c r="H208" s="104"/>
    </row>
    <row r="209" spans="8:8" ht="13" x14ac:dyDescent="0.15">
      <c r="H209" s="104"/>
    </row>
    <row r="210" spans="8:8" ht="13" x14ac:dyDescent="0.15">
      <c r="H210" s="104"/>
    </row>
    <row r="211" spans="8:8" ht="13" x14ac:dyDescent="0.15">
      <c r="H211" s="104"/>
    </row>
    <row r="212" spans="8:8" ht="13" x14ac:dyDescent="0.15">
      <c r="H212" s="104"/>
    </row>
    <row r="213" spans="8:8" ht="13" x14ac:dyDescent="0.15">
      <c r="H213" s="104"/>
    </row>
    <row r="214" spans="8:8" ht="13" x14ac:dyDescent="0.15">
      <c r="H214" s="104"/>
    </row>
    <row r="215" spans="8:8" ht="13" x14ac:dyDescent="0.15">
      <c r="H215" s="104"/>
    </row>
    <row r="216" spans="8:8" ht="13" x14ac:dyDescent="0.15">
      <c r="H216" s="104"/>
    </row>
    <row r="217" spans="8:8" ht="13" x14ac:dyDescent="0.15">
      <c r="H217" s="104"/>
    </row>
    <row r="218" spans="8:8" ht="13" x14ac:dyDescent="0.15">
      <c r="H218" s="104"/>
    </row>
    <row r="219" spans="8:8" ht="13" x14ac:dyDescent="0.15">
      <c r="H219" s="104"/>
    </row>
    <row r="220" spans="8:8" ht="13" x14ac:dyDescent="0.15">
      <c r="H220" s="104"/>
    </row>
    <row r="221" spans="8:8" ht="13" x14ac:dyDescent="0.15">
      <c r="H221" s="104"/>
    </row>
    <row r="222" spans="8:8" ht="13" x14ac:dyDescent="0.15">
      <c r="H222" s="104"/>
    </row>
    <row r="223" spans="8:8" ht="13" x14ac:dyDescent="0.15">
      <c r="H223" s="104"/>
    </row>
    <row r="224" spans="8:8" ht="13" x14ac:dyDescent="0.15">
      <c r="H224" s="104"/>
    </row>
    <row r="225" spans="8:8" ht="13" x14ac:dyDescent="0.15">
      <c r="H225" s="104"/>
    </row>
    <row r="226" spans="8:8" ht="13" x14ac:dyDescent="0.15">
      <c r="H226" s="104"/>
    </row>
    <row r="227" spans="8:8" ht="13" x14ac:dyDescent="0.15">
      <c r="H227" s="104"/>
    </row>
    <row r="228" spans="8:8" ht="13" x14ac:dyDescent="0.15">
      <c r="H228" s="104"/>
    </row>
    <row r="229" spans="8:8" ht="13" x14ac:dyDescent="0.15">
      <c r="H229" s="104"/>
    </row>
    <row r="230" spans="8:8" ht="13" x14ac:dyDescent="0.15">
      <c r="H230" s="104"/>
    </row>
    <row r="231" spans="8:8" ht="13" x14ac:dyDescent="0.15">
      <c r="H231" s="104"/>
    </row>
    <row r="232" spans="8:8" ht="13" x14ac:dyDescent="0.15">
      <c r="H232" s="104"/>
    </row>
    <row r="233" spans="8:8" ht="13" x14ac:dyDescent="0.15">
      <c r="H233" s="104"/>
    </row>
    <row r="234" spans="8:8" ht="13" x14ac:dyDescent="0.15">
      <c r="H234" s="104"/>
    </row>
    <row r="235" spans="8:8" ht="13" x14ac:dyDescent="0.15">
      <c r="H235" s="104"/>
    </row>
    <row r="236" spans="8:8" ht="13" x14ac:dyDescent="0.15">
      <c r="H236" s="104"/>
    </row>
    <row r="237" spans="8:8" ht="13" x14ac:dyDescent="0.15">
      <c r="H237" s="104"/>
    </row>
    <row r="238" spans="8:8" ht="13" x14ac:dyDescent="0.15">
      <c r="H238" s="104"/>
    </row>
    <row r="239" spans="8:8" ht="13" x14ac:dyDescent="0.15">
      <c r="H239" s="104"/>
    </row>
    <row r="240" spans="8:8" ht="13" x14ac:dyDescent="0.15">
      <c r="H240" s="104"/>
    </row>
    <row r="241" spans="8:8" ht="13" x14ac:dyDescent="0.15">
      <c r="H241" s="104"/>
    </row>
    <row r="242" spans="8:8" ht="13" x14ac:dyDescent="0.15">
      <c r="H242" s="104"/>
    </row>
    <row r="243" spans="8:8" ht="13" x14ac:dyDescent="0.15">
      <c r="H243" s="104"/>
    </row>
    <row r="244" spans="8:8" ht="13" x14ac:dyDescent="0.15">
      <c r="H244" s="104"/>
    </row>
    <row r="245" spans="8:8" ht="13" x14ac:dyDescent="0.15">
      <c r="H245" s="104"/>
    </row>
    <row r="246" spans="8:8" ht="13" x14ac:dyDescent="0.15">
      <c r="H246" s="104"/>
    </row>
    <row r="247" spans="8:8" ht="13" x14ac:dyDescent="0.15">
      <c r="H247" s="104"/>
    </row>
    <row r="248" spans="8:8" ht="13" x14ac:dyDescent="0.15">
      <c r="H248" s="104"/>
    </row>
    <row r="249" spans="8:8" ht="13" x14ac:dyDescent="0.15">
      <c r="H249" s="104"/>
    </row>
    <row r="250" spans="8:8" ht="13" x14ac:dyDescent="0.15">
      <c r="H250" s="104"/>
    </row>
    <row r="251" spans="8:8" ht="13" x14ac:dyDescent="0.15">
      <c r="H251" s="104"/>
    </row>
    <row r="252" spans="8:8" ht="13" x14ac:dyDescent="0.15">
      <c r="H252" s="104"/>
    </row>
    <row r="253" spans="8:8" ht="13" x14ac:dyDescent="0.15">
      <c r="H253" s="104"/>
    </row>
    <row r="254" spans="8:8" ht="13" x14ac:dyDescent="0.15">
      <c r="H254" s="104"/>
    </row>
    <row r="255" spans="8:8" ht="13" x14ac:dyDescent="0.15">
      <c r="H255" s="104"/>
    </row>
    <row r="256" spans="8:8" ht="13" x14ac:dyDescent="0.15">
      <c r="H256" s="104"/>
    </row>
    <row r="257" spans="8:8" ht="13" x14ac:dyDescent="0.15">
      <c r="H257" s="104"/>
    </row>
    <row r="258" spans="8:8" ht="13" x14ac:dyDescent="0.15">
      <c r="H258" s="104"/>
    </row>
    <row r="259" spans="8:8" ht="13" x14ac:dyDescent="0.15">
      <c r="H259" s="104"/>
    </row>
    <row r="260" spans="8:8" ht="13" x14ac:dyDescent="0.15">
      <c r="H260" s="104"/>
    </row>
    <row r="261" spans="8:8" ht="13" x14ac:dyDescent="0.15">
      <c r="H261" s="104"/>
    </row>
    <row r="262" spans="8:8" ht="13" x14ac:dyDescent="0.15">
      <c r="H262" s="104"/>
    </row>
    <row r="263" spans="8:8" ht="13" x14ac:dyDescent="0.15">
      <c r="H263" s="104"/>
    </row>
    <row r="264" spans="8:8" ht="13" x14ac:dyDescent="0.15">
      <c r="H264" s="104"/>
    </row>
    <row r="265" spans="8:8" ht="13" x14ac:dyDescent="0.15">
      <c r="H265" s="104"/>
    </row>
    <row r="266" spans="8:8" ht="13" x14ac:dyDescent="0.15">
      <c r="H266" s="104"/>
    </row>
    <row r="267" spans="8:8" ht="13" x14ac:dyDescent="0.15">
      <c r="H267" s="104"/>
    </row>
    <row r="268" spans="8:8" ht="13" x14ac:dyDescent="0.15">
      <c r="H268" s="104"/>
    </row>
    <row r="269" spans="8:8" ht="13" x14ac:dyDescent="0.15">
      <c r="H269" s="104"/>
    </row>
    <row r="270" spans="8:8" ht="13" x14ac:dyDescent="0.15">
      <c r="H270" s="104"/>
    </row>
    <row r="271" spans="8:8" ht="13" x14ac:dyDescent="0.15">
      <c r="H271" s="104"/>
    </row>
    <row r="272" spans="8:8" ht="13" x14ac:dyDescent="0.15">
      <c r="H272" s="104"/>
    </row>
    <row r="273" spans="8:8" ht="13" x14ac:dyDescent="0.15">
      <c r="H273" s="104"/>
    </row>
    <row r="274" spans="8:8" ht="13" x14ac:dyDescent="0.15">
      <c r="H274" s="104"/>
    </row>
    <row r="275" spans="8:8" ht="13" x14ac:dyDescent="0.15">
      <c r="H275" s="104"/>
    </row>
    <row r="276" spans="8:8" ht="13" x14ac:dyDescent="0.15">
      <c r="H276" s="104"/>
    </row>
    <row r="277" spans="8:8" ht="13" x14ac:dyDescent="0.15">
      <c r="H277" s="104"/>
    </row>
    <row r="278" spans="8:8" ht="13" x14ac:dyDescent="0.15">
      <c r="H278" s="104"/>
    </row>
    <row r="279" spans="8:8" ht="13" x14ac:dyDescent="0.15">
      <c r="H279" s="104"/>
    </row>
    <row r="280" spans="8:8" ht="13" x14ac:dyDescent="0.15">
      <c r="H280" s="104"/>
    </row>
    <row r="281" spans="8:8" ht="13" x14ac:dyDescent="0.15">
      <c r="H281" s="104"/>
    </row>
    <row r="282" spans="8:8" ht="13" x14ac:dyDescent="0.15">
      <c r="H282" s="104"/>
    </row>
    <row r="283" spans="8:8" ht="13" x14ac:dyDescent="0.15">
      <c r="H283" s="104"/>
    </row>
    <row r="284" spans="8:8" ht="13" x14ac:dyDescent="0.15">
      <c r="H284" s="104"/>
    </row>
    <row r="285" spans="8:8" ht="13" x14ac:dyDescent="0.15">
      <c r="H285" s="104"/>
    </row>
    <row r="286" spans="8:8" ht="13" x14ac:dyDescent="0.15">
      <c r="H286" s="104"/>
    </row>
    <row r="287" spans="8:8" ht="13" x14ac:dyDescent="0.15">
      <c r="H287" s="104"/>
    </row>
    <row r="288" spans="8:8" ht="13" x14ac:dyDescent="0.15">
      <c r="H288" s="104"/>
    </row>
    <row r="289" spans="8:8" ht="13" x14ac:dyDescent="0.15">
      <c r="H289" s="104"/>
    </row>
    <row r="290" spans="8:8" ht="13" x14ac:dyDescent="0.15">
      <c r="H290" s="104"/>
    </row>
    <row r="291" spans="8:8" ht="13" x14ac:dyDescent="0.15">
      <c r="H291" s="104"/>
    </row>
    <row r="292" spans="8:8" ht="13" x14ac:dyDescent="0.15">
      <c r="H292" s="104"/>
    </row>
    <row r="293" spans="8:8" ht="13" x14ac:dyDescent="0.15">
      <c r="H293" s="104"/>
    </row>
    <row r="294" spans="8:8" ht="13" x14ac:dyDescent="0.15">
      <c r="H294" s="104"/>
    </row>
    <row r="295" spans="8:8" ht="13" x14ac:dyDescent="0.15">
      <c r="H295" s="104"/>
    </row>
    <row r="296" spans="8:8" ht="13" x14ac:dyDescent="0.15">
      <c r="H296" s="104"/>
    </row>
    <row r="297" spans="8:8" ht="13" x14ac:dyDescent="0.15">
      <c r="H297" s="104"/>
    </row>
    <row r="298" spans="8:8" ht="13" x14ac:dyDescent="0.15">
      <c r="H298" s="104"/>
    </row>
    <row r="299" spans="8:8" ht="13" x14ac:dyDescent="0.15">
      <c r="H299" s="104"/>
    </row>
    <row r="300" spans="8:8" ht="13" x14ac:dyDescent="0.15">
      <c r="H300" s="104"/>
    </row>
    <row r="301" spans="8:8" ht="13" x14ac:dyDescent="0.15">
      <c r="H301" s="104"/>
    </row>
    <row r="302" spans="8:8" ht="13" x14ac:dyDescent="0.15">
      <c r="H302" s="104"/>
    </row>
    <row r="303" spans="8:8" ht="13" x14ac:dyDescent="0.15">
      <c r="H303" s="104"/>
    </row>
    <row r="304" spans="8:8" ht="13" x14ac:dyDescent="0.15">
      <c r="H304" s="104"/>
    </row>
    <row r="305" spans="8:8" ht="13" x14ac:dyDescent="0.15">
      <c r="H305" s="104"/>
    </row>
    <row r="306" spans="8:8" ht="13" x14ac:dyDescent="0.15">
      <c r="H306" s="104"/>
    </row>
    <row r="307" spans="8:8" ht="13" x14ac:dyDescent="0.15">
      <c r="H307" s="104"/>
    </row>
    <row r="308" spans="8:8" ht="13" x14ac:dyDescent="0.15">
      <c r="H308" s="104"/>
    </row>
    <row r="309" spans="8:8" ht="13" x14ac:dyDescent="0.15">
      <c r="H309" s="104"/>
    </row>
    <row r="310" spans="8:8" ht="13" x14ac:dyDescent="0.15">
      <c r="H310" s="104"/>
    </row>
    <row r="311" spans="8:8" ht="13" x14ac:dyDescent="0.15">
      <c r="H311" s="104"/>
    </row>
    <row r="312" spans="8:8" ht="13" x14ac:dyDescent="0.15">
      <c r="H312" s="104"/>
    </row>
    <row r="313" spans="8:8" ht="13" x14ac:dyDescent="0.15">
      <c r="H313" s="104"/>
    </row>
    <row r="314" spans="8:8" ht="13" x14ac:dyDescent="0.15">
      <c r="H314" s="104"/>
    </row>
    <row r="315" spans="8:8" ht="13" x14ac:dyDescent="0.15">
      <c r="H315" s="104"/>
    </row>
    <row r="316" spans="8:8" ht="13" x14ac:dyDescent="0.15">
      <c r="H316" s="104"/>
    </row>
    <row r="317" spans="8:8" ht="13" x14ac:dyDescent="0.15">
      <c r="H317" s="104"/>
    </row>
    <row r="318" spans="8:8" ht="13" x14ac:dyDescent="0.15">
      <c r="H318" s="104"/>
    </row>
    <row r="319" spans="8:8" ht="13" x14ac:dyDescent="0.15">
      <c r="H319" s="104"/>
    </row>
    <row r="320" spans="8:8" ht="13" x14ac:dyDescent="0.15">
      <c r="H320" s="104"/>
    </row>
    <row r="321" spans="8:8" ht="13" x14ac:dyDescent="0.15">
      <c r="H321" s="104"/>
    </row>
    <row r="322" spans="8:8" ht="13" x14ac:dyDescent="0.15">
      <c r="H322" s="104"/>
    </row>
    <row r="323" spans="8:8" ht="13" x14ac:dyDescent="0.15">
      <c r="H323" s="104"/>
    </row>
    <row r="324" spans="8:8" ht="13" x14ac:dyDescent="0.15">
      <c r="H324" s="104"/>
    </row>
    <row r="325" spans="8:8" ht="13" x14ac:dyDescent="0.15">
      <c r="H325" s="104"/>
    </row>
    <row r="326" spans="8:8" ht="13" x14ac:dyDescent="0.15">
      <c r="H326" s="104"/>
    </row>
    <row r="327" spans="8:8" ht="13" x14ac:dyDescent="0.15">
      <c r="H327" s="104"/>
    </row>
    <row r="328" spans="8:8" ht="13" x14ac:dyDescent="0.15">
      <c r="H328" s="104"/>
    </row>
    <row r="329" spans="8:8" ht="13" x14ac:dyDescent="0.15">
      <c r="H329" s="104"/>
    </row>
    <row r="330" spans="8:8" ht="13" x14ac:dyDescent="0.15">
      <c r="H330" s="104"/>
    </row>
    <row r="331" spans="8:8" ht="13" x14ac:dyDescent="0.15">
      <c r="H331" s="104"/>
    </row>
    <row r="332" spans="8:8" ht="13" x14ac:dyDescent="0.15">
      <c r="H332" s="104"/>
    </row>
    <row r="333" spans="8:8" ht="13" x14ac:dyDescent="0.15">
      <c r="H333" s="104"/>
    </row>
    <row r="334" spans="8:8" ht="13" x14ac:dyDescent="0.15">
      <c r="H334" s="104"/>
    </row>
    <row r="335" spans="8:8" ht="13" x14ac:dyDescent="0.15">
      <c r="H335" s="104"/>
    </row>
    <row r="336" spans="8:8" ht="13" x14ac:dyDescent="0.15">
      <c r="H336" s="104"/>
    </row>
    <row r="337" spans="8:8" ht="13" x14ac:dyDescent="0.15">
      <c r="H337" s="104"/>
    </row>
    <row r="338" spans="8:8" ht="13" x14ac:dyDescent="0.15">
      <c r="H338" s="104"/>
    </row>
    <row r="339" spans="8:8" ht="13" x14ac:dyDescent="0.15">
      <c r="H339" s="104"/>
    </row>
    <row r="340" spans="8:8" ht="13" x14ac:dyDescent="0.15">
      <c r="H340" s="104"/>
    </row>
    <row r="341" spans="8:8" ht="13" x14ac:dyDescent="0.15">
      <c r="H341" s="104"/>
    </row>
    <row r="342" spans="8:8" ht="13" x14ac:dyDescent="0.15">
      <c r="H342" s="104"/>
    </row>
    <row r="343" spans="8:8" ht="13" x14ac:dyDescent="0.15">
      <c r="H343" s="104"/>
    </row>
    <row r="344" spans="8:8" ht="13" x14ac:dyDescent="0.15">
      <c r="H344" s="104"/>
    </row>
    <row r="345" spans="8:8" ht="13" x14ac:dyDescent="0.15">
      <c r="H345" s="104"/>
    </row>
    <row r="346" spans="8:8" ht="13" x14ac:dyDescent="0.15">
      <c r="H346" s="104"/>
    </row>
    <row r="347" spans="8:8" ht="13" x14ac:dyDescent="0.15">
      <c r="H347" s="104"/>
    </row>
    <row r="348" spans="8:8" ht="13" x14ac:dyDescent="0.15">
      <c r="H348" s="104"/>
    </row>
    <row r="349" spans="8:8" ht="13" x14ac:dyDescent="0.15">
      <c r="H349" s="104"/>
    </row>
    <row r="350" spans="8:8" ht="13" x14ac:dyDescent="0.15">
      <c r="H350" s="104"/>
    </row>
    <row r="351" spans="8:8" ht="13" x14ac:dyDescent="0.15">
      <c r="H351" s="104"/>
    </row>
    <row r="352" spans="8:8" ht="13" x14ac:dyDescent="0.15">
      <c r="H352" s="104"/>
    </row>
    <row r="353" spans="8:8" ht="13" x14ac:dyDescent="0.15">
      <c r="H353" s="104"/>
    </row>
    <row r="354" spans="8:8" ht="13" x14ac:dyDescent="0.15">
      <c r="H354" s="104"/>
    </row>
    <row r="355" spans="8:8" ht="13" x14ac:dyDescent="0.15">
      <c r="H355" s="104"/>
    </row>
    <row r="356" spans="8:8" ht="13" x14ac:dyDescent="0.15">
      <c r="H356" s="104"/>
    </row>
    <row r="357" spans="8:8" ht="13" x14ac:dyDescent="0.15">
      <c r="H357" s="104"/>
    </row>
    <row r="358" spans="8:8" ht="13" x14ac:dyDescent="0.15">
      <c r="H358" s="104"/>
    </row>
    <row r="359" spans="8:8" ht="13" x14ac:dyDescent="0.15">
      <c r="H359" s="104"/>
    </row>
    <row r="360" spans="8:8" ht="13" x14ac:dyDescent="0.15">
      <c r="H360" s="104"/>
    </row>
    <row r="361" spans="8:8" ht="13" x14ac:dyDescent="0.15">
      <c r="H361" s="104"/>
    </row>
    <row r="362" spans="8:8" ht="13" x14ac:dyDescent="0.15">
      <c r="H362" s="104"/>
    </row>
    <row r="363" spans="8:8" ht="13" x14ac:dyDescent="0.15">
      <c r="H363" s="104"/>
    </row>
    <row r="364" spans="8:8" ht="13" x14ac:dyDescent="0.15">
      <c r="H364" s="104"/>
    </row>
    <row r="365" spans="8:8" ht="13" x14ac:dyDescent="0.15">
      <c r="H365" s="104"/>
    </row>
    <row r="366" spans="8:8" ht="13" x14ac:dyDescent="0.15">
      <c r="H366" s="104"/>
    </row>
    <row r="367" spans="8:8" ht="13" x14ac:dyDescent="0.15">
      <c r="H367" s="104"/>
    </row>
    <row r="368" spans="8:8" ht="13" x14ac:dyDescent="0.15">
      <c r="H368" s="104"/>
    </row>
    <row r="369" spans="8:8" ht="13" x14ac:dyDescent="0.15">
      <c r="H369" s="104"/>
    </row>
    <row r="370" spans="8:8" ht="13" x14ac:dyDescent="0.15">
      <c r="H370" s="104"/>
    </row>
    <row r="371" spans="8:8" ht="13" x14ac:dyDescent="0.15">
      <c r="H371" s="104"/>
    </row>
    <row r="372" spans="8:8" ht="13" x14ac:dyDescent="0.15">
      <c r="H372" s="104"/>
    </row>
    <row r="373" spans="8:8" ht="13" x14ac:dyDescent="0.15">
      <c r="H373" s="104"/>
    </row>
    <row r="374" spans="8:8" ht="13" x14ac:dyDescent="0.15">
      <c r="H374" s="104"/>
    </row>
    <row r="375" spans="8:8" ht="13" x14ac:dyDescent="0.15">
      <c r="H375" s="104"/>
    </row>
    <row r="376" spans="8:8" ht="13" x14ac:dyDescent="0.15">
      <c r="H376" s="104"/>
    </row>
    <row r="377" spans="8:8" ht="13" x14ac:dyDescent="0.15">
      <c r="H377" s="104"/>
    </row>
    <row r="378" spans="8:8" ht="13" x14ac:dyDescent="0.15">
      <c r="H378" s="104"/>
    </row>
    <row r="379" spans="8:8" ht="13" x14ac:dyDescent="0.15">
      <c r="H379" s="104"/>
    </row>
    <row r="380" spans="8:8" ht="13" x14ac:dyDescent="0.15">
      <c r="H380" s="104"/>
    </row>
    <row r="381" spans="8:8" ht="13" x14ac:dyDescent="0.15">
      <c r="H381" s="104"/>
    </row>
    <row r="382" spans="8:8" ht="13" x14ac:dyDescent="0.15">
      <c r="H382" s="104"/>
    </row>
    <row r="383" spans="8:8" ht="13" x14ac:dyDescent="0.15">
      <c r="H383" s="104"/>
    </row>
    <row r="384" spans="8:8" ht="13" x14ac:dyDescent="0.15">
      <c r="H384" s="104"/>
    </row>
    <row r="385" spans="8:8" ht="13" x14ac:dyDescent="0.15">
      <c r="H385" s="104"/>
    </row>
    <row r="386" spans="8:8" ht="13" x14ac:dyDescent="0.15">
      <c r="H386" s="104"/>
    </row>
    <row r="387" spans="8:8" ht="13" x14ac:dyDescent="0.15">
      <c r="H387" s="104"/>
    </row>
    <row r="388" spans="8:8" ht="13" x14ac:dyDescent="0.15">
      <c r="H388" s="104"/>
    </row>
    <row r="389" spans="8:8" ht="13" x14ac:dyDescent="0.15">
      <c r="H389" s="104"/>
    </row>
    <row r="390" spans="8:8" ht="13" x14ac:dyDescent="0.15">
      <c r="H390" s="104"/>
    </row>
    <row r="391" spans="8:8" ht="13" x14ac:dyDescent="0.15">
      <c r="H391" s="104"/>
    </row>
    <row r="392" spans="8:8" ht="13" x14ac:dyDescent="0.15">
      <c r="H392" s="104"/>
    </row>
    <row r="393" spans="8:8" ht="13" x14ac:dyDescent="0.15">
      <c r="H393" s="104"/>
    </row>
    <row r="394" spans="8:8" ht="13" x14ac:dyDescent="0.15">
      <c r="H394" s="104"/>
    </row>
    <row r="395" spans="8:8" ht="13" x14ac:dyDescent="0.15">
      <c r="H395" s="104"/>
    </row>
    <row r="396" spans="8:8" ht="13" x14ac:dyDescent="0.15">
      <c r="H396" s="104"/>
    </row>
    <row r="397" spans="8:8" ht="13" x14ac:dyDescent="0.15">
      <c r="H397" s="104"/>
    </row>
    <row r="398" spans="8:8" ht="13" x14ac:dyDescent="0.15">
      <c r="H398" s="104"/>
    </row>
    <row r="399" spans="8:8" ht="13" x14ac:dyDescent="0.15">
      <c r="H399" s="104"/>
    </row>
    <row r="400" spans="8:8" ht="13" x14ac:dyDescent="0.15">
      <c r="H400" s="104"/>
    </row>
    <row r="401" spans="8:8" ht="13" x14ac:dyDescent="0.15">
      <c r="H401" s="104"/>
    </row>
    <row r="402" spans="8:8" ht="13" x14ac:dyDescent="0.15">
      <c r="H402" s="104"/>
    </row>
    <row r="403" spans="8:8" ht="13" x14ac:dyDescent="0.15">
      <c r="H403" s="104"/>
    </row>
    <row r="404" spans="8:8" ht="13" x14ac:dyDescent="0.15">
      <c r="H404" s="104"/>
    </row>
    <row r="405" spans="8:8" ht="13" x14ac:dyDescent="0.15">
      <c r="H405" s="104"/>
    </row>
    <row r="406" spans="8:8" ht="13" x14ac:dyDescent="0.15">
      <c r="H406" s="104"/>
    </row>
    <row r="407" spans="8:8" ht="13" x14ac:dyDescent="0.15">
      <c r="H407" s="104"/>
    </row>
    <row r="408" spans="8:8" ht="13" x14ac:dyDescent="0.15">
      <c r="H408" s="104"/>
    </row>
    <row r="409" spans="8:8" ht="13" x14ac:dyDescent="0.15">
      <c r="H409" s="104"/>
    </row>
    <row r="410" spans="8:8" ht="13" x14ac:dyDescent="0.15">
      <c r="H410" s="104"/>
    </row>
    <row r="411" spans="8:8" ht="13" x14ac:dyDescent="0.15">
      <c r="H411" s="104"/>
    </row>
    <row r="412" spans="8:8" ht="13" x14ac:dyDescent="0.15">
      <c r="H412" s="104"/>
    </row>
    <row r="413" spans="8:8" ht="13" x14ac:dyDescent="0.15">
      <c r="H413" s="104"/>
    </row>
    <row r="414" spans="8:8" ht="13" x14ac:dyDescent="0.15">
      <c r="H414" s="104"/>
    </row>
    <row r="415" spans="8:8" ht="13" x14ac:dyDescent="0.15">
      <c r="H415" s="104"/>
    </row>
    <row r="416" spans="8:8" ht="13" x14ac:dyDescent="0.15">
      <c r="H416" s="104"/>
    </row>
    <row r="417" spans="8:8" ht="13" x14ac:dyDescent="0.15">
      <c r="H417" s="104"/>
    </row>
    <row r="418" spans="8:8" ht="13" x14ac:dyDescent="0.15">
      <c r="H418" s="104"/>
    </row>
    <row r="419" spans="8:8" ht="13" x14ac:dyDescent="0.15">
      <c r="H419" s="104"/>
    </row>
    <row r="420" spans="8:8" ht="13" x14ac:dyDescent="0.15">
      <c r="H420" s="104"/>
    </row>
    <row r="421" spans="8:8" ht="13" x14ac:dyDescent="0.15">
      <c r="H421" s="104"/>
    </row>
    <row r="422" spans="8:8" ht="13" x14ac:dyDescent="0.15">
      <c r="H422" s="104"/>
    </row>
    <row r="423" spans="8:8" ht="13" x14ac:dyDescent="0.15">
      <c r="H423" s="104"/>
    </row>
    <row r="424" spans="8:8" ht="13" x14ac:dyDescent="0.15">
      <c r="H424" s="104"/>
    </row>
    <row r="425" spans="8:8" ht="13" x14ac:dyDescent="0.15">
      <c r="H425" s="104"/>
    </row>
    <row r="426" spans="8:8" ht="13" x14ac:dyDescent="0.15">
      <c r="H426" s="104"/>
    </row>
    <row r="427" spans="8:8" ht="13" x14ac:dyDescent="0.15">
      <c r="H427" s="104"/>
    </row>
    <row r="428" spans="8:8" ht="13" x14ac:dyDescent="0.15">
      <c r="H428" s="104"/>
    </row>
    <row r="429" spans="8:8" ht="13" x14ac:dyDescent="0.15">
      <c r="H429" s="104"/>
    </row>
    <row r="430" spans="8:8" ht="13" x14ac:dyDescent="0.15">
      <c r="H430" s="104"/>
    </row>
    <row r="431" spans="8:8" ht="13" x14ac:dyDescent="0.15">
      <c r="H431" s="104"/>
    </row>
    <row r="432" spans="8:8" ht="13" x14ac:dyDescent="0.15">
      <c r="H432" s="104"/>
    </row>
    <row r="433" spans="8:8" ht="13" x14ac:dyDescent="0.15">
      <c r="H433" s="104"/>
    </row>
    <row r="434" spans="8:8" ht="13" x14ac:dyDescent="0.15">
      <c r="H434" s="104"/>
    </row>
    <row r="435" spans="8:8" ht="13" x14ac:dyDescent="0.15">
      <c r="H435" s="104"/>
    </row>
    <row r="436" spans="8:8" ht="13" x14ac:dyDescent="0.15">
      <c r="H436" s="104"/>
    </row>
    <row r="437" spans="8:8" ht="13" x14ac:dyDescent="0.15">
      <c r="H437" s="104"/>
    </row>
    <row r="438" spans="8:8" ht="13" x14ac:dyDescent="0.15">
      <c r="H438" s="104"/>
    </row>
    <row r="439" spans="8:8" ht="13" x14ac:dyDescent="0.15">
      <c r="H439" s="104"/>
    </row>
    <row r="440" spans="8:8" ht="13" x14ac:dyDescent="0.15">
      <c r="H440" s="104"/>
    </row>
    <row r="441" spans="8:8" ht="13" x14ac:dyDescent="0.15">
      <c r="H441" s="104"/>
    </row>
    <row r="442" spans="8:8" ht="13" x14ac:dyDescent="0.15">
      <c r="H442" s="104"/>
    </row>
    <row r="443" spans="8:8" ht="13" x14ac:dyDescent="0.15">
      <c r="H443" s="104"/>
    </row>
    <row r="444" spans="8:8" ht="13" x14ac:dyDescent="0.15">
      <c r="H444" s="104"/>
    </row>
    <row r="445" spans="8:8" ht="13" x14ac:dyDescent="0.15">
      <c r="H445" s="104"/>
    </row>
    <row r="446" spans="8:8" ht="13" x14ac:dyDescent="0.15">
      <c r="H446" s="104"/>
    </row>
    <row r="447" spans="8:8" ht="13" x14ac:dyDescent="0.15">
      <c r="H447" s="104"/>
    </row>
    <row r="448" spans="8:8" ht="13" x14ac:dyDescent="0.15">
      <c r="H448" s="104"/>
    </row>
    <row r="449" spans="8:8" ht="13" x14ac:dyDescent="0.15">
      <c r="H449" s="104"/>
    </row>
    <row r="450" spans="8:8" ht="13" x14ac:dyDescent="0.15">
      <c r="H450" s="104"/>
    </row>
    <row r="451" spans="8:8" ht="13" x14ac:dyDescent="0.15">
      <c r="H451" s="104"/>
    </row>
    <row r="452" spans="8:8" ht="13" x14ac:dyDescent="0.15">
      <c r="H452" s="104"/>
    </row>
    <row r="453" spans="8:8" ht="13" x14ac:dyDescent="0.15">
      <c r="H453" s="104"/>
    </row>
    <row r="454" spans="8:8" ht="13" x14ac:dyDescent="0.15">
      <c r="H454" s="104"/>
    </row>
    <row r="455" spans="8:8" ht="13" x14ac:dyDescent="0.15">
      <c r="H455" s="104"/>
    </row>
    <row r="456" spans="8:8" ht="13" x14ac:dyDescent="0.15">
      <c r="H456" s="104"/>
    </row>
    <row r="457" spans="8:8" ht="13" x14ac:dyDescent="0.15">
      <c r="H457" s="104"/>
    </row>
    <row r="458" spans="8:8" ht="13" x14ac:dyDescent="0.15">
      <c r="H458" s="104"/>
    </row>
    <row r="459" spans="8:8" ht="13" x14ac:dyDescent="0.15">
      <c r="H459" s="104"/>
    </row>
    <row r="460" spans="8:8" ht="13" x14ac:dyDescent="0.15">
      <c r="H460" s="104"/>
    </row>
    <row r="461" spans="8:8" ht="13" x14ac:dyDescent="0.15">
      <c r="H461" s="104"/>
    </row>
    <row r="462" spans="8:8" ht="13" x14ac:dyDescent="0.15">
      <c r="H462" s="104"/>
    </row>
    <row r="463" spans="8:8" ht="13" x14ac:dyDescent="0.15">
      <c r="H463" s="104"/>
    </row>
    <row r="464" spans="8:8" ht="13" x14ac:dyDescent="0.15">
      <c r="H464" s="104"/>
    </row>
    <row r="465" spans="8:8" ht="13" x14ac:dyDescent="0.15">
      <c r="H465" s="104"/>
    </row>
    <row r="466" spans="8:8" ht="13" x14ac:dyDescent="0.15">
      <c r="H466" s="104"/>
    </row>
    <row r="467" spans="8:8" ht="13" x14ac:dyDescent="0.15">
      <c r="H467" s="104"/>
    </row>
    <row r="468" spans="8:8" ht="13" x14ac:dyDescent="0.15">
      <c r="H468" s="104"/>
    </row>
    <row r="469" spans="8:8" ht="13" x14ac:dyDescent="0.15">
      <c r="H469" s="104"/>
    </row>
    <row r="470" spans="8:8" ht="13" x14ac:dyDescent="0.15">
      <c r="H470" s="104"/>
    </row>
    <row r="471" spans="8:8" ht="13" x14ac:dyDescent="0.15">
      <c r="H471" s="104"/>
    </row>
    <row r="472" spans="8:8" ht="13" x14ac:dyDescent="0.15">
      <c r="H472" s="104"/>
    </row>
    <row r="473" spans="8:8" ht="13" x14ac:dyDescent="0.15">
      <c r="H473" s="104"/>
    </row>
    <row r="474" spans="8:8" ht="13" x14ac:dyDescent="0.15">
      <c r="H474" s="104"/>
    </row>
    <row r="475" spans="8:8" ht="13" x14ac:dyDescent="0.15">
      <c r="H475" s="104"/>
    </row>
    <row r="476" spans="8:8" ht="13" x14ac:dyDescent="0.15">
      <c r="H476" s="104"/>
    </row>
    <row r="477" spans="8:8" ht="13" x14ac:dyDescent="0.15">
      <c r="H477" s="104"/>
    </row>
    <row r="478" spans="8:8" ht="13" x14ac:dyDescent="0.15">
      <c r="H478" s="104"/>
    </row>
    <row r="479" spans="8:8" ht="13" x14ac:dyDescent="0.15">
      <c r="H479" s="104"/>
    </row>
    <row r="480" spans="8:8" ht="13" x14ac:dyDescent="0.15">
      <c r="H480" s="104"/>
    </row>
    <row r="481" spans="8:8" ht="13" x14ac:dyDescent="0.15">
      <c r="H481" s="104"/>
    </row>
    <row r="482" spans="8:8" ht="13" x14ac:dyDescent="0.15">
      <c r="H482" s="104"/>
    </row>
    <row r="483" spans="8:8" ht="13" x14ac:dyDescent="0.15">
      <c r="H483" s="104"/>
    </row>
    <row r="484" spans="8:8" ht="13" x14ac:dyDescent="0.15">
      <c r="H484" s="104"/>
    </row>
    <row r="485" spans="8:8" ht="13" x14ac:dyDescent="0.15">
      <c r="H485" s="104"/>
    </row>
    <row r="486" spans="8:8" ht="13" x14ac:dyDescent="0.15">
      <c r="H486" s="104"/>
    </row>
    <row r="487" spans="8:8" ht="13" x14ac:dyDescent="0.15">
      <c r="H487" s="104"/>
    </row>
    <row r="488" spans="8:8" ht="13" x14ac:dyDescent="0.15">
      <c r="H488" s="104"/>
    </row>
    <row r="489" spans="8:8" ht="13" x14ac:dyDescent="0.15">
      <c r="H489" s="104"/>
    </row>
    <row r="490" spans="8:8" ht="13" x14ac:dyDescent="0.15">
      <c r="H490" s="104"/>
    </row>
    <row r="491" spans="8:8" ht="13" x14ac:dyDescent="0.15">
      <c r="H491" s="104"/>
    </row>
    <row r="492" spans="8:8" ht="13" x14ac:dyDescent="0.15">
      <c r="H492" s="104"/>
    </row>
    <row r="493" spans="8:8" ht="13" x14ac:dyDescent="0.15">
      <c r="H493" s="104"/>
    </row>
    <row r="494" spans="8:8" ht="13" x14ac:dyDescent="0.15">
      <c r="H494" s="104"/>
    </row>
    <row r="495" spans="8:8" ht="13" x14ac:dyDescent="0.15">
      <c r="H495" s="104"/>
    </row>
    <row r="496" spans="8:8" ht="13" x14ac:dyDescent="0.15">
      <c r="H496" s="104"/>
    </row>
    <row r="497" spans="8:8" ht="13" x14ac:dyDescent="0.15">
      <c r="H497" s="104"/>
    </row>
    <row r="498" spans="8:8" ht="13" x14ac:dyDescent="0.15">
      <c r="H498" s="104"/>
    </row>
    <row r="499" spans="8:8" ht="13" x14ac:dyDescent="0.15">
      <c r="H499" s="104"/>
    </row>
    <row r="500" spans="8:8" ht="13" x14ac:dyDescent="0.15">
      <c r="H500" s="104"/>
    </row>
    <row r="501" spans="8:8" ht="13" x14ac:dyDescent="0.15">
      <c r="H501" s="104"/>
    </row>
    <row r="502" spans="8:8" ht="13" x14ac:dyDescent="0.15">
      <c r="H502" s="104"/>
    </row>
    <row r="503" spans="8:8" ht="13" x14ac:dyDescent="0.15">
      <c r="H503" s="104"/>
    </row>
    <row r="504" spans="8:8" ht="13" x14ac:dyDescent="0.15">
      <c r="H504" s="104"/>
    </row>
    <row r="505" spans="8:8" ht="13" x14ac:dyDescent="0.15">
      <c r="H505" s="104"/>
    </row>
    <row r="506" spans="8:8" ht="13" x14ac:dyDescent="0.15">
      <c r="H506" s="104"/>
    </row>
    <row r="507" spans="8:8" ht="13" x14ac:dyDescent="0.15">
      <c r="H507" s="104"/>
    </row>
    <row r="508" spans="8:8" ht="13" x14ac:dyDescent="0.15">
      <c r="H508" s="104"/>
    </row>
    <row r="509" spans="8:8" ht="13" x14ac:dyDescent="0.15">
      <c r="H509" s="104"/>
    </row>
    <row r="510" spans="8:8" ht="13" x14ac:dyDescent="0.15">
      <c r="H510" s="104"/>
    </row>
    <row r="511" spans="8:8" ht="13" x14ac:dyDescent="0.15">
      <c r="H511" s="104"/>
    </row>
    <row r="512" spans="8:8" ht="13" x14ac:dyDescent="0.15">
      <c r="H512" s="104"/>
    </row>
    <row r="513" spans="8:8" ht="13" x14ac:dyDescent="0.15">
      <c r="H513" s="104"/>
    </row>
    <row r="514" spans="8:8" ht="13" x14ac:dyDescent="0.15">
      <c r="H514" s="104"/>
    </row>
    <row r="515" spans="8:8" ht="13" x14ac:dyDescent="0.15">
      <c r="H515" s="104"/>
    </row>
    <row r="516" spans="8:8" ht="13" x14ac:dyDescent="0.15">
      <c r="H516" s="104"/>
    </row>
    <row r="517" spans="8:8" ht="13" x14ac:dyDescent="0.15">
      <c r="H517" s="104"/>
    </row>
    <row r="518" spans="8:8" ht="13" x14ac:dyDescent="0.15">
      <c r="H518" s="104"/>
    </row>
    <row r="519" spans="8:8" ht="13" x14ac:dyDescent="0.15">
      <c r="H519" s="104"/>
    </row>
    <row r="520" spans="8:8" ht="13" x14ac:dyDescent="0.15">
      <c r="H520" s="104"/>
    </row>
    <row r="521" spans="8:8" ht="13" x14ac:dyDescent="0.15">
      <c r="H521" s="104"/>
    </row>
    <row r="522" spans="8:8" ht="13" x14ac:dyDescent="0.15">
      <c r="H522" s="104"/>
    </row>
    <row r="523" spans="8:8" ht="13" x14ac:dyDescent="0.15">
      <c r="H523" s="104"/>
    </row>
    <row r="524" spans="8:8" ht="13" x14ac:dyDescent="0.15">
      <c r="H524" s="104"/>
    </row>
    <row r="525" spans="8:8" ht="13" x14ac:dyDescent="0.15">
      <c r="H525" s="104"/>
    </row>
    <row r="526" spans="8:8" ht="13" x14ac:dyDescent="0.15">
      <c r="H526" s="104"/>
    </row>
    <row r="527" spans="8:8" ht="13" x14ac:dyDescent="0.15">
      <c r="H527" s="104"/>
    </row>
    <row r="528" spans="8:8" ht="13" x14ac:dyDescent="0.15">
      <c r="H528" s="104"/>
    </row>
    <row r="529" spans="8:8" ht="13" x14ac:dyDescent="0.15">
      <c r="H529" s="104"/>
    </row>
    <row r="530" spans="8:8" ht="13" x14ac:dyDescent="0.15">
      <c r="H530" s="104"/>
    </row>
    <row r="531" spans="8:8" ht="13" x14ac:dyDescent="0.15">
      <c r="H531" s="104"/>
    </row>
    <row r="532" spans="8:8" ht="13" x14ac:dyDescent="0.15">
      <c r="H532" s="104"/>
    </row>
    <row r="533" spans="8:8" ht="13" x14ac:dyDescent="0.15">
      <c r="H533" s="104"/>
    </row>
    <row r="534" spans="8:8" ht="13" x14ac:dyDescent="0.15">
      <c r="H534" s="104"/>
    </row>
    <row r="535" spans="8:8" ht="13" x14ac:dyDescent="0.15">
      <c r="H535" s="104"/>
    </row>
    <row r="536" spans="8:8" ht="13" x14ac:dyDescent="0.15">
      <c r="H536" s="104"/>
    </row>
    <row r="537" spans="8:8" ht="13" x14ac:dyDescent="0.15">
      <c r="H537" s="104"/>
    </row>
    <row r="538" spans="8:8" ht="13" x14ac:dyDescent="0.15">
      <c r="H538" s="104"/>
    </row>
    <row r="539" spans="8:8" ht="13" x14ac:dyDescent="0.15">
      <c r="H539" s="104"/>
    </row>
    <row r="540" spans="8:8" ht="13" x14ac:dyDescent="0.15">
      <c r="H540" s="104"/>
    </row>
    <row r="541" spans="8:8" ht="13" x14ac:dyDescent="0.15">
      <c r="H541" s="104"/>
    </row>
    <row r="542" spans="8:8" ht="13" x14ac:dyDescent="0.15">
      <c r="H542" s="104"/>
    </row>
    <row r="543" spans="8:8" ht="13" x14ac:dyDescent="0.15">
      <c r="H543" s="104"/>
    </row>
    <row r="544" spans="8:8" ht="13" x14ac:dyDescent="0.15">
      <c r="H544" s="104"/>
    </row>
    <row r="545" spans="8:8" ht="13" x14ac:dyDescent="0.15">
      <c r="H545" s="104"/>
    </row>
    <row r="546" spans="8:8" ht="13" x14ac:dyDescent="0.15">
      <c r="H546" s="104"/>
    </row>
    <row r="547" spans="8:8" ht="13" x14ac:dyDescent="0.15">
      <c r="H547" s="104"/>
    </row>
    <row r="548" spans="8:8" ht="13" x14ac:dyDescent="0.15">
      <c r="H548" s="104"/>
    </row>
    <row r="549" spans="8:8" ht="13" x14ac:dyDescent="0.15">
      <c r="H549" s="104"/>
    </row>
    <row r="550" spans="8:8" ht="13" x14ac:dyDescent="0.15">
      <c r="H550" s="104"/>
    </row>
    <row r="551" spans="8:8" ht="13" x14ac:dyDescent="0.15">
      <c r="H551" s="104"/>
    </row>
    <row r="552" spans="8:8" ht="13" x14ac:dyDescent="0.15">
      <c r="H552" s="104"/>
    </row>
    <row r="553" spans="8:8" ht="13" x14ac:dyDescent="0.15">
      <c r="H553" s="104"/>
    </row>
    <row r="554" spans="8:8" ht="13" x14ac:dyDescent="0.15">
      <c r="H554" s="104"/>
    </row>
    <row r="555" spans="8:8" ht="13" x14ac:dyDescent="0.15">
      <c r="H555" s="104"/>
    </row>
    <row r="556" spans="8:8" ht="13" x14ac:dyDescent="0.15">
      <c r="H556" s="104"/>
    </row>
    <row r="557" spans="8:8" ht="13" x14ac:dyDescent="0.15">
      <c r="H557" s="104"/>
    </row>
    <row r="558" spans="8:8" ht="13" x14ac:dyDescent="0.15">
      <c r="H558" s="104"/>
    </row>
    <row r="559" spans="8:8" ht="13" x14ac:dyDescent="0.15">
      <c r="H559" s="104"/>
    </row>
    <row r="560" spans="8:8" ht="13" x14ac:dyDescent="0.15">
      <c r="H560" s="104"/>
    </row>
    <row r="561" spans="8:8" ht="13" x14ac:dyDescent="0.15">
      <c r="H561" s="104"/>
    </row>
    <row r="562" spans="8:8" ht="13" x14ac:dyDescent="0.15">
      <c r="H562" s="104"/>
    </row>
    <row r="563" spans="8:8" ht="13" x14ac:dyDescent="0.15">
      <c r="H563" s="104"/>
    </row>
    <row r="564" spans="8:8" ht="13" x14ac:dyDescent="0.15">
      <c r="H564" s="104"/>
    </row>
    <row r="565" spans="8:8" ht="13" x14ac:dyDescent="0.15">
      <c r="H565" s="104"/>
    </row>
    <row r="566" spans="8:8" ht="13" x14ac:dyDescent="0.15">
      <c r="H566" s="104"/>
    </row>
    <row r="567" spans="8:8" ht="13" x14ac:dyDescent="0.15">
      <c r="H567" s="104"/>
    </row>
    <row r="568" spans="8:8" ht="13" x14ac:dyDescent="0.15">
      <c r="H568" s="104"/>
    </row>
    <row r="569" spans="8:8" ht="13" x14ac:dyDescent="0.15">
      <c r="H569" s="104"/>
    </row>
    <row r="570" spans="8:8" ht="13" x14ac:dyDescent="0.15">
      <c r="H570" s="104"/>
    </row>
    <row r="571" spans="8:8" ht="13" x14ac:dyDescent="0.15">
      <c r="H571" s="104"/>
    </row>
    <row r="572" spans="8:8" ht="13" x14ac:dyDescent="0.15">
      <c r="H572" s="104"/>
    </row>
    <row r="573" spans="8:8" ht="13" x14ac:dyDescent="0.15">
      <c r="H573" s="104"/>
    </row>
    <row r="574" spans="8:8" ht="13" x14ac:dyDescent="0.15">
      <c r="H574" s="104"/>
    </row>
    <row r="575" spans="8:8" ht="13" x14ac:dyDescent="0.15">
      <c r="H575" s="104"/>
    </row>
    <row r="576" spans="8:8" ht="13" x14ac:dyDescent="0.15">
      <c r="H576" s="104"/>
    </row>
    <row r="577" spans="8:8" ht="13" x14ac:dyDescent="0.15">
      <c r="H577" s="104"/>
    </row>
    <row r="578" spans="8:8" ht="13" x14ac:dyDescent="0.15">
      <c r="H578" s="104"/>
    </row>
    <row r="579" spans="8:8" ht="13" x14ac:dyDescent="0.15">
      <c r="H579" s="104"/>
    </row>
    <row r="580" spans="8:8" ht="13" x14ac:dyDescent="0.15">
      <c r="H580" s="104"/>
    </row>
    <row r="581" spans="8:8" ht="13" x14ac:dyDescent="0.15">
      <c r="H581" s="104"/>
    </row>
    <row r="582" spans="8:8" ht="13" x14ac:dyDescent="0.15">
      <c r="H582" s="104"/>
    </row>
    <row r="583" spans="8:8" ht="13" x14ac:dyDescent="0.15">
      <c r="H583" s="104"/>
    </row>
    <row r="584" spans="8:8" ht="13" x14ac:dyDescent="0.15">
      <c r="H584" s="104"/>
    </row>
    <row r="585" spans="8:8" ht="13" x14ac:dyDescent="0.15">
      <c r="H585" s="104"/>
    </row>
    <row r="586" spans="8:8" ht="13" x14ac:dyDescent="0.15">
      <c r="H586" s="104"/>
    </row>
    <row r="587" spans="8:8" ht="13" x14ac:dyDescent="0.15">
      <c r="H587" s="104"/>
    </row>
    <row r="588" spans="8:8" ht="13" x14ac:dyDescent="0.15">
      <c r="H588" s="104"/>
    </row>
    <row r="589" spans="8:8" ht="13" x14ac:dyDescent="0.15">
      <c r="H589" s="104"/>
    </row>
    <row r="590" spans="8:8" ht="13" x14ac:dyDescent="0.15">
      <c r="H590" s="104"/>
    </row>
    <row r="591" spans="8:8" ht="13" x14ac:dyDescent="0.15">
      <c r="H591" s="104"/>
    </row>
    <row r="592" spans="8:8" ht="13" x14ac:dyDescent="0.15">
      <c r="H592" s="104"/>
    </row>
    <row r="593" spans="8:8" ht="13" x14ac:dyDescent="0.15">
      <c r="H593" s="104"/>
    </row>
    <row r="594" spans="8:8" ht="13" x14ac:dyDescent="0.15">
      <c r="H594" s="104"/>
    </row>
    <row r="595" spans="8:8" ht="13" x14ac:dyDescent="0.15">
      <c r="H595" s="104"/>
    </row>
    <row r="596" spans="8:8" ht="13" x14ac:dyDescent="0.15">
      <c r="H596" s="104"/>
    </row>
    <row r="597" spans="8:8" ht="13" x14ac:dyDescent="0.15">
      <c r="H597" s="104"/>
    </row>
    <row r="598" spans="8:8" ht="13" x14ac:dyDescent="0.15">
      <c r="H598" s="104"/>
    </row>
    <row r="599" spans="8:8" ht="13" x14ac:dyDescent="0.15">
      <c r="H599" s="104"/>
    </row>
    <row r="600" spans="8:8" ht="13" x14ac:dyDescent="0.15">
      <c r="H600" s="104"/>
    </row>
    <row r="601" spans="8:8" ht="13" x14ac:dyDescent="0.15">
      <c r="H601" s="104"/>
    </row>
    <row r="602" spans="8:8" ht="13" x14ac:dyDescent="0.15">
      <c r="H602" s="104"/>
    </row>
    <row r="603" spans="8:8" ht="13" x14ac:dyDescent="0.15">
      <c r="H603" s="104"/>
    </row>
    <row r="604" spans="8:8" ht="13" x14ac:dyDescent="0.15">
      <c r="H604" s="104"/>
    </row>
    <row r="605" spans="8:8" ht="13" x14ac:dyDescent="0.15">
      <c r="H605" s="104"/>
    </row>
    <row r="606" spans="8:8" ht="13" x14ac:dyDescent="0.15">
      <c r="H606" s="104"/>
    </row>
    <row r="607" spans="8:8" ht="13" x14ac:dyDescent="0.15">
      <c r="H607" s="104"/>
    </row>
    <row r="608" spans="8:8" ht="13" x14ac:dyDescent="0.15">
      <c r="H608" s="104"/>
    </row>
    <row r="609" spans="8:8" ht="13" x14ac:dyDescent="0.15">
      <c r="H609" s="104"/>
    </row>
    <row r="610" spans="8:8" ht="13" x14ac:dyDescent="0.15">
      <c r="H610" s="104"/>
    </row>
    <row r="611" spans="8:8" ht="13" x14ac:dyDescent="0.15">
      <c r="H611" s="104"/>
    </row>
    <row r="612" spans="8:8" ht="13" x14ac:dyDescent="0.15">
      <c r="H612" s="104"/>
    </row>
    <row r="613" spans="8:8" ht="13" x14ac:dyDescent="0.15">
      <c r="H613" s="104"/>
    </row>
    <row r="614" spans="8:8" ht="13" x14ac:dyDescent="0.15">
      <c r="H614" s="104"/>
    </row>
    <row r="615" spans="8:8" ht="13" x14ac:dyDescent="0.15">
      <c r="H615" s="104"/>
    </row>
    <row r="616" spans="8:8" ht="13" x14ac:dyDescent="0.15">
      <c r="H616" s="104"/>
    </row>
    <row r="617" spans="8:8" ht="13" x14ac:dyDescent="0.15">
      <c r="H617" s="104"/>
    </row>
    <row r="618" spans="8:8" ht="13" x14ac:dyDescent="0.15">
      <c r="H618" s="104"/>
    </row>
    <row r="619" spans="8:8" ht="13" x14ac:dyDescent="0.15">
      <c r="H619" s="104"/>
    </row>
    <row r="620" spans="8:8" ht="13" x14ac:dyDescent="0.15">
      <c r="H620" s="104"/>
    </row>
    <row r="621" spans="8:8" ht="13" x14ac:dyDescent="0.15">
      <c r="H621" s="104"/>
    </row>
    <row r="622" spans="8:8" ht="13" x14ac:dyDescent="0.15">
      <c r="H622" s="104"/>
    </row>
    <row r="623" spans="8:8" ht="13" x14ac:dyDescent="0.15">
      <c r="H623" s="104"/>
    </row>
    <row r="624" spans="8:8" ht="13" x14ac:dyDescent="0.15">
      <c r="H624" s="104"/>
    </row>
    <row r="625" spans="8:8" ht="13" x14ac:dyDescent="0.15">
      <c r="H625" s="104"/>
    </row>
    <row r="626" spans="8:8" ht="13" x14ac:dyDescent="0.15">
      <c r="H626" s="104"/>
    </row>
    <row r="627" spans="8:8" ht="13" x14ac:dyDescent="0.15">
      <c r="H627" s="104"/>
    </row>
    <row r="628" spans="8:8" ht="13" x14ac:dyDescent="0.15">
      <c r="H628" s="104"/>
    </row>
    <row r="629" spans="8:8" ht="13" x14ac:dyDescent="0.15">
      <c r="H629" s="104"/>
    </row>
    <row r="630" spans="8:8" ht="13" x14ac:dyDescent="0.15">
      <c r="H630" s="104"/>
    </row>
    <row r="631" spans="8:8" ht="13" x14ac:dyDescent="0.15">
      <c r="H631" s="104"/>
    </row>
    <row r="632" spans="8:8" ht="13" x14ac:dyDescent="0.15">
      <c r="H632" s="104"/>
    </row>
    <row r="633" spans="8:8" ht="13" x14ac:dyDescent="0.15">
      <c r="H633" s="104"/>
    </row>
    <row r="634" spans="8:8" ht="13" x14ac:dyDescent="0.15">
      <c r="H634" s="104"/>
    </row>
    <row r="635" spans="8:8" ht="13" x14ac:dyDescent="0.15">
      <c r="H635" s="104"/>
    </row>
    <row r="636" spans="8:8" ht="13" x14ac:dyDescent="0.15">
      <c r="H636" s="104"/>
    </row>
    <row r="637" spans="8:8" ht="13" x14ac:dyDescent="0.15">
      <c r="H637" s="104"/>
    </row>
    <row r="638" spans="8:8" ht="13" x14ac:dyDescent="0.15">
      <c r="H638" s="104"/>
    </row>
    <row r="639" spans="8:8" ht="13" x14ac:dyDescent="0.15">
      <c r="H639" s="104"/>
    </row>
    <row r="640" spans="8:8" ht="13" x14ac:dyDescent="0.15">
      <c r="H640" s="104"/>
    </row>
    <row r="641" spans="8:8" ht="13" x14ac:dyDescent="0.15">
      <c r="H641" s="104"/>
    </row>
    <row r="642" spans="8:8" ht="13" x14ac:dyDescent="0.15">
      <c r="H642" s="104"/>
    </row>
    <row r="643" spans="8:8" ht="13" x14ac:dyDescent="0.15">
      <c r="H643" s="104"/>
    </row>
    <row r="644" spans="8:8" ht="13" x14ac:dyDescent="0.15">
      <c r="H644" s="104"/>
    </row>
    <row r="645" spans="8:8" ht="13" x14ac:dyDescent="0.15">
      <c r="H645" s="104"/>
    </row>
    <row r="646" spans="8:8" ht="13" x14ac:dyDescent="0.15">
      <c r="H646" s="104"/>
    </row>
    <row r="647" spans="8:8" ht="13" x14ac:dyDescent="0.15">
      <c r="H647" s="104"/>
    </row>
    <row r="648" spans="8:8" ht="13" x14ac:dyDescent="0.15">
      <c r="H648" s="104"/>
    </row>
    <row r="649" spans="8:8" ht="13" x14ac:dyDescent="0.15">
      <c r="H649" s="104"/>
    </row>
    <row r="650" spans="8:8" ht="13" x14ac:dyDescent="0.15">
      <c r="H650" s="104"/>
    </row>
    <row r="651" spans="8:8" ht="13" x14ac:dyDescent="0.15">
      <c r="H651" s="104"/>
    </row>
    <row r="652" spans="8:8" ht="13" x14ac:dyDescent="0.15">
      <c r="H652" s="104"/>
    </row>
    <row r="653" spans="8:8" ht="13" x14ac:dyDescent="0.15">
      <c r="H653" s="104"/>
    </row>
    <row r="654" spans="8:8" ht="13" x14ac:dyDescent="0.15">
      <c r="H654" s="104"/>
    </row>
    <row r="655" spans="8:8" ht="13" x14ac:dyDescent="0.15">
      <c r="H655" s="104"/>
    </row>
    <row r="656" spans="8:8" ht="13" x14ac:dyDescent="0.15">
      <c r="H656" s="104"/>
    </row>
    <row r="657" spans="8:8" ht="13" x14ac:dyDescent="0.15">
      <c r="H657" s="104"/>
    </row>
    <row r="658" spans="8:8" ht="13" x14ac:dyDescent="0.15">
      <c r="H658" s="104"/>
    </row>
    <row r="659" spans="8:8" ht="13" x14ac:dyDescent="0.15">
      <c r="H659" s="104"/>
    </row>
    <row r="660" spans="8:8" ht="13" x14ac:dyDescent="0.15">
      <c r="H660" s="104"/>
    </row>
    <row r="661" spans="8:8" ht="13" x14ac:dyDescent="0.15">
      <c r="H661" s="104"/>
    </row>
    <row r="662" spans="8:8" ht="13" x14ac:dyDescent="0.15">
      <c r="H662" s="104"/>
    </row>
    <row r="663" spans="8:8" ht="13" x14ac:dyDescent="0.15">
      <c r="H663" s="104"/>
    </row>
    <row r="664" spans="8:8" ht="13" x14ac:dyDescent="0.15">
      <c r="H664" s="104"/>
    </row>
    <row r="665" spans="8:8" ht="13" x14ac:dyDescent="0.15">
      <c r="H665" s="104"/>
    </row>
    <row r="666" spans="8:8" ht="13" x14ac:dyDescent="0.15">
      <c r="H666" s="104"/>
    </row>
    <row r="667" spans="8:8" ht="13" x14ac:dyDescent="0.15">
      <c r="H667" s="104"/>
    </row>
    <row r="668" spans="8:8" ht="13" x14ac:dyDescent="0.15">
      <c r="H668" s="104"/>
    </row>
    <row r="669" spans="8:8" ht="13" x14ac:dyDescent="0.15">
      <c r="H669" s="104"/>
    </row>
    <row r="670" spans="8:8" ht="13" x14ac:dyDescent="0.15">
      <c r="H670" s="104"/>
    </row>
    <row r="671" spans="8:8" ht="13" x14ac:dyDescent="0.15">
      <c r="H671" s="104"/>
    </row>
    <row r="672" spans="8:8" ht="13" x14ac:dyDescent="0.15">
      <c r="H672" s="104"/>
    </row>
    <row r="673" spans="8:8" ht="13" x14ac:dyDescent="0.15">
      <c r="H673" s="104"/>
    </row>
    <row r="674" spans="8:8" ht="13" x14ac:dyDescent="0.15">
      <c r="H674" s="104"/>
    </row>
    <row r="675" spans="8:8" ht="13" x14ac:dyDescent="0.15">
      <c r="H675" s="104"/>
    </row>
    <row r="676" spans="8:8" ht="13" x14ac:dyDescent="0.15">
      <c r="H676" s="104"/>
    </row>
    <row r="677" spans="8:8" ht="13" x14ac:dyDescent="0.15">
      <c r="H677" s="104"/>
    </row>
    <row r="678" spans="8:8" ht="13" x14ac:dyDescent="0.15">
      <c r="H678" s="104"/>
    </row>
    <row r="679" spans="8:8" ht="13" x14ac:dyDescent="0.15">
      <c r="H679" s="104"/>
    </row>
    <row r="680" spans="8:8" ht="13" x14ac:dyDescent="0.15">
      <c r="H680" s="104"/>
    </row>
    <row r="681" spans="8:8" ht="13" x14ac:dyDescent="0.15">
      <c r="H681" s="104"/>
    </row>
    <row r="682" spans="8:8" ht="13" x14ac:dyDescent="0.15">
      <c r="H682" s="104"/>
    </row>
    <row r="683" spans="8:8" ht="13" x14ac:dyDescent="0.15">
      <c r="H683" s="104"/>
    </row>
    <row r="684" spans="8:8" ht="13" x14ac:dyDescent="0.15">
      <c r="H684" s="104"/>
    </row>
    <row r="685" spans="8:8" ht="13" x14ac:dyDescent="0.15">
      <c r="H685" s="104"/>
    </row>
    <row r="686" spans="8:8" ht="13" x14ac:dyDescent="0.15">
      <c r="H686" s="104"/>
    </row>
    <row r="687" spans="8:8" ht="13" x14ac:dyDescent="0.15">
      <c r="H687" s="104"/>
    </row>
    <row r="688" spans="8:8" ht="13" x14ac:dyDescent="0.15">
      <c r="H688" s="104"/>
    </row>
    <row r="689" spans="8:8" ht="13" x14ac:dyDescent="0.15">
      <c r="H689" s="104"/>
    </row>
    <row r="690" spans="8:8" ht="13" x14ac:dyDescent="0.15">
      <c r="H690" s="104"/>
    </row>
    <row r="691" spans="8:8" ht="13" x14ac:dyDescent="0.15">
      <c r="H691" s="104"/>
    </row>
    <row r="692" spans="8:8" ht="13" x14ac:dyDescent="0.15">
      <c r="H692" s="104"/>
    </row>
    <row r="693" spans="8:8" ht="13" x14ac:dyDescent="0.15">
      <c r="H693" s="104"/>
    </row>
    <row r="694" spans="8:8" ht="13" x14ac:dyDescent="0.15">
      <c r="H694" s="104"/>
    </row>
    <row r="695" spans="8:8" ht="13" x14ac:dyDescent="0.15">
      <c r="H695" s="104"/>
    </row>
    <row r="696" spans="8:8" ht="13" x14ac:dyDescent="0.15">
      <c r="H696" s="104"/>
    </row>
    <row r="697" spans="8:8" ht="13" x14ac:dyDescent="0.15">
      <c r="H697" s="104"/>
    </row>
    <row r="698" spans="8:8" ht="13" x14ac:dyDescent="0.15">
      <c r="H698" s="104"/>
    </row>
    <row r="699" spans="8:8" ht="13" x14ac:dyDescent="0.15">
      <c r="H699" s="104"/>
    </row>
    <row r="700" spans="8:8" ht="13" x14ac:dyDescent="0.15">
      <c r="H700" s="104"/>
    </row>
    <row r="701" spans="8:8" ht="13" x14ac:dyDescent="0.15">
      <c r="H701" s="104"/>
    </row>
    <row r="702" spans="8:8" ht="13" x14ac:dyDescent="0.15">
      <c r="H702" s="104"/>
    </row>
    <row r="703" spans="8:8" ht="13" x14ac:dyDescent="0.15">
      <c r="H703" s="104"/>
    </row>
    <row r="704" spans="8:8" ht="13" x14ac:dyDescent="0.15">
      <c r="H704" s="104"/>
    </row>
    <row r="705" spans="8:8" ht="13" x14ac:dyDescent="0.15">
      <c r="H705" s="104"/>
    </row>
    <row r="706" spans="8:8" ht="13" x14ac:dyDescent="0.15">
      <c r="H706" s="104"/>
    </row>
    <row r="707" spans="8:8" ht="13" x14ac:dyDescent="0.15">
      <c r="H707" s="104"/>
    </row>
    <row r="708" spans="8:8" ht="13" x14ac:dyDescent="0.15">
      <c r="H708" s="104"/>
    </row>
    <row r="709" spans="8:8" ht="13" x14ac:dyDescent="0.15">
      <c r="H709" s="104"/>
    </row>
    <row r="710" spans="8:8" ht="13" x14ac:dyDescent="0.15">
      <c r="H710" s="104"/>
    </row>
    <row r="711" spans="8:8" ht="13" x14ac:dyDescent="0.15">
      <c r="H711" s="104"/>
    </row>
    <row r="712" spans="8:8" ht="13" x14ac:dyDescent="0.15">
      <c r="H712" s="104"/>
    </row>
    <row r="713" spans="8:8" ht="13" x14ac:dyDescent="0.15">
      <c r="H713" s="104"/>
    </row>
    <row r="714" spans="8:8" ht="13" x14ac:dyDescent="0.15">
      <c r="H714" s="104"/>
    </row>
    <row r="715" spans="8:8" ht="13" x14ac:dyDescent="0.15">
      <c r="H715" s="104"/>
    </row>
    <row r="716" spans="8:8" ht="13" x14ac:dyDescent="0.15">
      <c r="H716" s="104"/>
    </row>
    <row r="717" spans="8:8" ht="13" x14ac:dyDescent="0.15">
      <c r="H717" s="104"/>
    </row>
    <row r="718" spans="8:8" ht="13" x14ac:dyDescent="0.15">
      <c r="H718" s="104"/>
    </row>
    <row r="719" spans="8:8" ht="13" x14ac:dyDescent="0.15">
      <c r="H719" s="104"/>
    </row>
    <row r="720" spans="8:8" ht="13" x14ac:dyDescent="0.15">
      <c r="H720" s="104"/>
    </row>
    <row r="721" spans="8:8" ht="13" x14ac:dyDescent="0.15">
      <c r="H721" s="104"/>
    </row>
    <row r="722" spans="8:8" ht="13" x14ac:dyDescent="0.15">
      <c r="H722" s="104"/>
    </row>
    <row r="723" spans="8:8" ht="13" x14ac:dyDescent="0.15">
      <c r="H723" s="104"/>
    </row>
    <row r="724" spans="8:8" ht="13" x14ac:dyDescent="0.15">
      <c r="H724" s="104"/>
    </row>
    <row r="725" spans="8:8" ht="13" x14ac:dyDescent="0.15">
      <c r="H725" s="104"/>
    </row>
    <row r="726" spans="8:8" ht="13" x14ac:dyDescent="0.15">
      <c r="H726" s="104"/>
    </row>
    <row r="727" spans="8:8" ht="13" x14ac:dyDescent="0.15">
      <c r="H727" s="104"/>
    </row>
    <row r="728" spans="8:8" ht="13" x14ac:dyDescent="0.15">
      <c r="H728" s="104"/>
    </row>
    <row r="729" spans="8:8" ht="13" x14ac:dyDescent="0.15">
      <c r="H729" s="104"/>
    </row>
    <row r="730" spans="8:8" ht="13" x14ac:dyDescent="0.15">
      <c r="H730" s="104"/>
    </row>
    <row r="731" spans="8:8" ht="13" x14ac:dyDescent="0.15">
      <c r="H731" s="104"/>
    </row>
    <row r="732" spans="8:8" ht="13" x14ac:dyDescent="0.15">
      <c r="H732" s="104"/>
    </row>
    <row r="733" spans="8:8" ht="13" x14ac:dyDescent="0.15">
      <c r="H733" s="104"/>
    </row>
    <row r="734" spans="8:8" ht="13" x14ac:dyDescent="0.15">
      <c r="H734" s="104"/>
    </row>
    <row r="735" spans="8:8" ht="13" x14ac:dyDescent="0.15">
      <c r="H735" s="104"/>
    </row>
    <row r="736" spans="8:8" ht="13" x14ac:dyDescent="0.15">
      <c r="H736" s="104"/>
    </row>
    <row r="737" spans="8:8" ht="13" x14ac:dyDescent="0.15">
      <c r="H737" s="104"/>
    </row>
    <row r="738" spans="8:8" ht="13" x14ac:dyDescent="0.15">
      <c r="H738" s="104"/>
    </row>
    <row r="739" spans="8:8" ht="13" x14ac:dyDescent="0.15">
      <c r="H739" s="104"/>
    </row>
    <row r="740" spans="8:8" ht="13" x14ac:dyDescent="0.15">
      <c r="H740" s="104"/>
    </row>
    <row r="741" spans="8:8" ht="13" x14ac:dyDescent="0.15">
      <c r="H741" s="104"/>
    </row>
    <row r="742" spans="8:8" ht="13" x14ac:dyDescent="0.15">
      <c r="H742" s="104"/>
    </row>
    <row r="743" spans="8:8" ht="13" x14ac:dyDescent="0.15">
      <c r="H743" s="104"/>
    </row>
    <row r="744" spans="8:8" ht="13" x14ac:dyDescent="0.15">
      <c r="H744" s="104"/>
    </row>
    <row r="745" spans="8:8" ht="13" x14ac:dyDescent="0.15">
      <c r="H745" s="104"/>
    </row>
    <row r="746" spans="8:8" ht="13" x14ac:dyDescent="0.15">
      <c r="H746" s="104"/>
    </row>
    <row r="747" spans="8:8" ht="13" x14ac:dyDescent="0.15">
      <c r="H747" s="104"/>
    </row>
    <row r="748" spans="8:8" ht="13" x14ac:dyDescent="0.15">
      <c r="H748" s="104"/>
    </row>
    <row r="749" spans="8:8" ht="13" x14ac:dyDescent="0.15">
      <c r="H749" s="104"/>
    </row>
    <row r="750" spans="8:8" ht="13" x14ac:dyDescent="0.15">
      <c r="H750" s="104"/>
    </row>
    <row r="751" spans="8:8" ht="13" x14ac:dyDescent="0.15">
      <c r="H751" s="104"/>
    </row>
    <row r="752" spans="8:8" ht="13" x14ac:dyDescent="0.15">
      <c r="H752" s="104"/>
    </row>
    <row r="753" spans="8:8" ht="13" x14ac:dyDescent="0.15">
      <c r="H753" s="104"/>
    </row>
    <row r="754" spans="8:8" ht="13" x14ac:dyDescent="0.15">
      <c r="H754" s="104"/>
    </row>
    <row r="755" spans="8:8" ht="13" x14ac:dyDescent="0.15">
      <c r="H755" s="104"/>
    </row>
    <row r="756" spans="8:8" ht="13" x14ac:dyDescent="0.15">
      <c r="H756" s="104"/>
    </row>
    <row r="757" spans="8:8" ht="13" x14ac:dyDescent="0.15">
      <c r="H757" s="104"/>
    </row>
    <row r="758" spans="8:8" ht="13" x14ac:dyDescent="0.15">
      <c r="H758" s="104"/>
    </row>
    <row r="759" spans="8:8" ht="13" x14ac:dyDescent="0.15">
      <c r="H759" s="104"/>
    </row>
    <row r="760" spans="8:8" ht="13" x14ac:dyDescent="0.15">
      <c r="H760" s="104"/>
    </row>
    <row r="761" spans="8:8" ht="13" x14ac:dyDescent="0.15">
      <c r="H761" s="104"/>
    </row>
    <row r="762" spans="8:8" ht="13" x14ac:dyDescent="0.15">
      <c r="H762" s="104"/>
    </row>
    <row r="763" spans="8:8" ht="13" x14ac:dyDescent="0.15">
      <c r="H763" s="104"/>
    </row>
    <row r="764" spans="8:8" ht="13" x14ac:dyDescent="0.15">
      <c r="H764" s="104"/>
    </row>
    <row r="765" spans="8:8" ht="13" x14ac:dyDescent="0.15">
      <c r="H765" s="104"/>
    </row>
    <row r="766" spans="8:8" ht="13" x14ac:dyDescent="0.15">
      <c r="H766" s="104"/>
    </row>
    <row r="767" spans="8:8" ht="13" x14ac:dyDescent="0.15">
      <c r="H767" s="104"/>
    </row>
    <row r="768" spans="8:8" ht="13" x14ac:dyDescent="0.15">
      <c r="H768" s="104"/>
    </row>
    <row r="769" spans="8:8" ht="13" x14ac:dyDescent="0.15">
      <c r="H769" s="104"/>
    </row>
    <row r="770" spans="8:8" ht="13" x14ac:dyDescent="0.15">
      <c r="H770" s="104"/>
    </row>
    <row r="771" spans="8:8" ht="13" x14ac:dyDescent="0.15">
      <c r="H771" s="104"/>
    </row>
    <row r="772" spans="8:8" ht="13" x14ac:dyDescent="0.15">
      <c r="H772" s="104"/>
    </row>
    <row r="773" spans="8:8" ht="13" x14ac:dyDescent="0.15">
      <c r="H773" s="104"/>
    </row>
    <row r="774" spans="8:8" ht="13" x14ac:dyDescent="0.15">
      <c r="H774" s="104"/>
    </row>
    <row r="775" spans="8:8" ht="13" x14ac:dyDescent="0.15">
      <c r="H775" s="104"/>
    </row>
    <row r="776" spans="8:8" ht="13" x14ac:dyDescent="0.15">
      <c r="H776" s="104"/>
    </row>
    <row r="777" spans="8:8" ht="13" x14ac:dyDescent="0.15">
      <c r="H777" s="104"/>
    </row>
    <row r="778" spans="8:8" ht="13" x14ac:dyDescent="0.15">
      <c r="H778" s="104"/>
    </row>
    <row r="779" spans="8:8" ht="13" x14ac:dyDescent="0.15">
      <c r="H779" s="104"/>
    </row>
    <row r="780" spans="8:8" ht="13" x14ac:dyDescent="0.15">
      <c r="H780" s="104"/>
    </row>
    <row r="781" spans="8:8" ht="13" x14ac:dyDescent="0.15">
      <c r="H781" s="104"/>
    </row>
    <row r="782" spans="8:8" ht="13" x14ac:dyDescent="0.15">
      <c r="H782" s="104"/>
    </row>
    <row r="783" spans="8:8" ht="13" x14ac:dyDescent="0.15">
      <c r="H783" s="104"/>
    </row>
    <row r="784" spans="8:8" ht="13" x14ac:dyDescent="0.15">
      <c r="H784" s="104"/>
    </row>
    <row r="785" spans="8:8" ht="13" x14ac:dyDescent="0.15">
      <c r="H785" s="104"/>
    </row>
    <row r="786" spans="8:8" ht="13" x14ac:dyDescent="0.15">
      <c r="H786" s="104"/>
    </row>
    <row r="787" spans="8:8" ht="13" x14ac:dyDescent="0.15">
      <c r="H787" s="104"/>
    </row>
    <row r="788" spans="8:8" ht="13" x14ac:dyDescent="0.15">
      <c r="H788" s="104"/>
    </row>
    <row r="789" spans="8:8" ht="13" x14ac:dyDescent="0.15">
      <c r="H789" s="104"/>
    </row>
    <row r="790" spans="8:8" ht="13" x14ac:dyDescent="0.15">
      <c r="H790" s="104"/>
    </row>
    <row r="791" spans="8:8" ht="13" x14ac:dyDescent="0.15">
      <c r="H791" s="104"/>
    </row>
    <row r="792" spans="8:8" ht="13" x14ac:dyDescent="0.15">
      <c r="H792" s="104"/>
    </row>
    <row r="793" spans="8:8" ht="13" x14ac:dyDescent="0.15">
      <c r="H793" s="104"/>
    </row>
    <row r="794" spans="8:8" ht="13" x14ac:dyDescent="0.15">
      <c r="H794" s="104"/>
    </row>
    <row r="795" spans="8:8" ht="13" x14ac:dyDescent="0.15">
      <c r="H795" s="104"/>
    </row>
    <row r="796" spans="8:8" ht="13" x14ac:dyDescent="0.15">
      <c r="H796" s="104"/>
    </row>
    <row r="797" spans="8:8" ht="13" x14ac:dyDescent="0.15">
      <c r="H797" s="104"/>
    </row>
    <row r="798" spans="8:8" ht="13" x14ac:dyDescent="0.15">
      <c r="H798" s="104"/>
    </row>
    <row r="799" spans="8:8" ht="13" x14ac:dyDescent="0.15">
      <c r="H799" s="104"/>
    </row>
    <row r="800" spans="8:8" ht="13" x14ac:dyDescent="0.15">
      <c r="H800" s="104"/>
    </row>
    <row r="801" spans="8:8" ht="13" x14ac:dyDescent="0.15">
      <c r="H801" s="104"/>
    </row>
    <row r="802" spans="8:8" ht="13" x14ac:dyDescent="0.15">
      <c r="H802" s="104"/>
    </row>
    <row r="803" spans="8:8" ht="13" x14ac:dyDescent="0.15">
      <c r="H803" s="104"/>
    </row>
    <row r="804" spans="8:8" ht="13" x14ac:dyDescent="0.15">
      <c r="H804" s="104"/>
    </row>
    <row r="805" spans="8:8" ht="13" x14ac:dyDescent="0.15">
      <c r="H805" s="104"/>
    </row>
    <row r="806" spans="8:8" ht="13" x14ac:dyDescent="0.15">
      <c r="H806" s="104"/>
    </row>
    <row r="807" spans="8:8" ht="13" x14ac:dyDescent="0.15">
      <c r="H807" s="104"/>
    </row>
    <row r="808" spans="8:8" ht="13" x14ac:dyDescent="0.15">
      <c r="H808" s="104"/>
    </row>
    <row r="809" spans="8:8" ht="13" x14ac:dyDescent="0.15">
      <c r="H809" s="104"/>
    </row>
    <row r="810" spans="8:8" ht="13" x14ac:dyDescent="0.15">
      <c r="H810" s="104"/>
    </row>
    <row r="811" spans="8:8" ht="13" x14ac:dyDescent="0.15">
      <c r="H811" s="104"/>
    </row>
    <row r="812" spans="8:8" ht="13" x14ac:dyDescent="0.15">
      <c r="H812" s="104"/>
    </row>
    <row r="813" spans="8:8" ht="13" x14ac:dyDescent="0.15">
      <c r="H813" s="104"/>
    </row>
    <row r="814" spans="8:8" ht="13" x14ac:dyDescent="0.15">
      <c r="H814" s="104"/>
    </row>
    <row r="815" spans="8:8" ht="13" x14ac:dyDescent="0.15">
      <c r="H815" s="104"/>
    </row>
    <row r="816" spans="8:8" ht="13" x14ac:dyDescent="0.15">
      <c r="H816" s="104"/>
    </row>
    <row r="817" spans="8:8" ht="13" x14ac:dyDescent="0.15">
      <c r="H817" s="104"/>
    </row>
    <row r="818" spans="8:8" ht="13" x14ac:dyDescent="0.15">
      <c r="H818" s="104"/>
    </row>
    <row r="819" spans="8:8" ht="13" x14ac:dyDescent="0.15">
      <c r="H819" s="104"/>
    </row>
    <row r="820" spans="8:8" ht="13" x14ac:dyDescent="0.15">
      <c r="H820" s="104"/>
    </row>
    <row r="821" spans="8:8" ht="13" x14ac:dyDescent="0.15">
      <c r="H821" s="104"/>
    </row>
    <row r="822" spans="8:8" ht="13" x14ac:dyDescent="0.15">
      <c r="H822" s="104"/>
    </row>
    <row r="823" spans="8:8" ht="13" x14ac:dyDescent="0.15">
      <c r="H823" s="104"/>
    </row>
    <row r="824" spans="8:8" ht="13" x14ac:dyDescent="0.15">
      <c r="H824" s="104"/>
    </row>
    <row r="825" spans="8:8" ht="13" x14ac:dyDescent="0.15">
      <c r="H825" s="104"/>
    </row>
    <row r="826" spans="8:8" ht="13" x14ac:dyDescent="0.15">
      <c r="H826" s="104"/>
    </row>
    <row r="827" spans="8:8" ht="13" x14ac:dyDescent="0.15">
      <c r="H827" s="104"/>
    </row>
    <row r="828" spans="8:8" ht="13" x14ac:dyDescent="0.15">
      <c r="H828" s="104"/>
    </row>
    <row r="829" spans="8:8" ht="13" x14ac:dyDescent="0.15">
      <c r="H829" s="104"/>
    </row>
    <row r="830" spans="8:8" ht="13" x14ac:dyDescent="0.15">
      <c r="H830" s="104"/>
    </row>
    <row r="831" spans="8:8" ht="13" x14ac:dyDescent="0.15">
      <c r="H831" s="104"/>
    </row>
    <row r="832" spans="8:8" ht="13" x14ac:dyDescent="0.15">
      <c r="H832" s="104"/>
    </row>
    <row r="833" spans="8:8" ht="13" x14ac:dyDescent="0.15">
      <c r="H833" s="104"/>
    </row>
    <row r="834" spans="8:8" ht="13" x14ac:dyDescent="0.15">
      <c r="H834" s="104"/>
    </row>
    <row r="835" spans="8:8" ht="13" x14ac:dyDescent="0.15">
      <c r="H835" s="104"/>
    </row>
    <row r="836" spans="8:8" ht="13" x14ac:dyDescent="0.15">
      <c r="H836" s="104"/>
    </row>
    <row r="837" spans="8:8" ht="13" x14ac:dyDescent="0.15">
      <c r="H837" s="104"/>
    </row>
    <row r="838" spans="8:8" ht="13" x14ac:dyDescent="0.15">
      <c r="H838" s="104"/>
    </row>
    <row r="839" spans="8:8" ht="13" x14ac:dyDescent="0.15">
      <c r="H839" s="104"/>
    </row>
    <row r="840" spans="8:8" ht="13" x14ac:dyDescent="0.15">
      <c r="H840" s="104"/>
    </row>
    <row r="841" spans="8:8" ht="13" x14ac:dyDescent="0.15">
      <c r="H841" s="104"/>
    </row>
    <row r="842" spans="8:8" ht="13" x14ac:dyDescent="0.15">
      <c r="H842" s="104"/>
    </row>
    <row r="843" spans="8:8" ht="13" x14ac:dyDescent="0.15">
      <c r="H843" s="104"/>
    </row>
    <row r="844" spans="8:8" ht="13" x14ac:dyDescent="0.15">
      <c r="H844" s="104"/>
    </row>
    <row r="845" spans="8:8" ht="13" x14ac:dyDescent="0.15">
      <c r="H845" s="104"/>
    </row>
    <row r="846" spans="8:8" ht="13" x14ac:dyDescent="0.15">
      <c r="H846" s="104"/>
    </row>
    <row r="847" spans="8:8" ht="13" x14ac:dyDescent="0.15">
      <c r="H847" s="104"/>
    </row>
    <row r="848" spans="8:8" ht="13" x14ac:dyDescent="0.15">
      <c r="H848" s="104"/>
    </row>
    <row r="849" spans="8:8" ht="13" x14ac:dyDescent="0.15">
      <c r="H849" s="104"/>
    </row>
    <row r="850" spans="8:8" ht="13" x14ac:dyDescent="0.15">
      <c r="H850" s="104"/>
    </row>
    <row r="851" spans="8:8" ht="13" x14ac:dyDescent="0.15">
      <c r="H851" s="104"/>
    </row>
    <row r="852" spans="8:8" ht="13" x14ac:dyDescent="0.15">
      <c r="H852" s="104"/>
    </row>
    <row r="853" spans="8:8" ht="13" x14ac:dyDescent="0.15">
      <c r="H853" s="104"/>
    </row>
    <row r="854" spans="8:8" ht="13" x14ac:dyDescent="0.15">
      <c r="H854" s="104"/>
    </row>
    <row r="855" spans="8:8" ht="13" x14ac:dyDescent="0.15">
      <c r="H855" s="104"/>
    </row>
    <row r="856" spans="8:8" ht="13" x14ac:dyDescent="0.15">
      <c r="H856" s="104"/>
    </row>
    <row r="857" spans="8:8" ht="13" x14ac:dyDescent="0.15">
      <c r="H857" s="104"/>
    </row>
    <row r="858" spans="8:8" ht="13" x14ac:dyDescent="0.15">
      <c r="H858" s="104"/>
    </row>
    <row r="859" spans="8:8" ht="13" x14ac:dyDescent="0.15">
      <c r="H859" s="104"/>
    </row>
    <row r="860" spans="8:8" ht="13" x14ac:dyDescent="0.15">
      <c r="H860" s="104"/>
    </row>
    <row r="861" spans="8:8" ht="13" x14ac:dyDescent="0.15">
      <c r="H861" s="104"/>
    </row>
    <row r="862" spans="8:8" ht="13" x14ac:dyDescent="0.15">
      <c r="H862" s="104"/>
    </row>
    <row r="863" spans="8:8" ht="13" x14ac:dyDescent="0.15">
      <c r="H863" s="104"/>
    </row>
    <row r="864" spans="8:8" ht="13" x14ac:dyDescent="0.15">
      <c r="H864" s="104"/>
    </row>
    <row r="865" spans="8:8" ht="13" x14ac:dyDescent="0.15">
      <c r="H865" s="104"/>
    </row>
    <row r="866" spans="8:8" ht="13" x14ac:dyDescent="0.15">
      <c r="H866" s="104"/>
    </row>
    <row r="867" spans="8:8" ht="13" x14ac:dyDescent="0.15">
      <c r="H867" s="104"/>
    </row>
    <row r="868" spans="8:8" ht="13" x14ac:dyDescent="0.15">
      <c r="H868" s="104"/>
    </row>
    <row r="869" spans="8:8" ht="13" x14ac:dyDescent="0.15">
      <c r="H869" s="104"/>
    </row>
    <row r="870" spans="8:8" ht="13" x14ac:dyDescent="0.15">
      <c r="H870" s="104"/>
    </row>
    <row r="871" spans="8:8" ht="13" x14ac:dyDescent="0.15">
      <c r="H871" s="104"/>
    </row>
    <row r="872" spans="8:8" ht="13" x14ac:dyDescent="0.15">
      <c r="H872" s="104"/>
    </row>
    <row r="873" spans="8:8" ht="13" x14ac:dyDescent="0.15">
      <c r="H873" s="104"/>
    </row>
    <row r="874" spans="8:8" ht="13" x14ac:dyDescent="0.15">
      <c r="H874" s="104"/>
    </row>
    <row r="875" spans="8:8" ht="13" x14ac:dyDescent="0.15">
      <c r="H875" s="104"/>
    </row>
    <row r="876" spans="8:8" ht="13" x14ac:dyDescent="0.15">
      <c r="H876" s="104"/>
    </row>
    <row r="877" spans="8:8" ht="13" x14ac:dyDescent="0.15">
      <c r="H877" s="104"/>
    </row>
    <row r="878" spans="8:8" ht="13" x14ac:dyDescent="0.15">
      <c r="H878" s="104"/>
    </row>
    <row r="879" spans="8:8" ht="13" x14ac:dyDescent="0.15">
      <c r="H879" s="104"/>
    </row>
    <row r="880" spans="8:8" ht="13" x14ac:dyDescent="0.15">
      <c r="H880" s="104"/>
    </row>
    <row r="881" spans="8:8" ht="13" x14ac:dyDescent="0.15">
      <c r="H881" s="104"/>
    </row>
    <row r="882" spans="8:8" ht="13" x14ac:dyDescent="0.15">
      <c r="H882" s="104"/>
    </row>
    <row r="883" spans="8:8" ht="13" x14ac:dyDescent="0.15">
      <c r="H883" s="104"/>
    </row>
    <row r="884" spans="8:8" ht="13" x14ac:dyDescent="0.15">
      <c r="H884" s="104"/>
    </row>
    <row r="885" spans="8:8" ht="13" x14ac:dyDescent="0.15">
      <c r="H885" s="104"/>
    </row>
    <row r="886" spans="8:8" ht="13" x14ac:dyDescent="0.15">
      <c r="H886" s="104"/>
    </row>
    <row r="887" spans="8:8" ht="13" x14ac:dyDescent="0.15">
      <c r="H887" s="104"/>
    </row>
    <row r="888" spans="8:8" ht="13" x14ac:dyDescent="0.15">
      <c r="H888" s="104"/>
    </row>
    <row r="889" spans="8:8" ht="13" x14ac:dyDescent="0.15">
      <c r="H889" s="104"/>
    </row>
    <row r="890" spans="8:8" ht="13" x14ac:dyDescent="0.15">
      <c r="H890" s="104"/>
    </row>
    <row r="891" spans="8:8" ht="13" x14ac:dyDescent="0.15">
      <c r="H891" s="104"/>
    </row>
    <row r="892" spans="8:8" ht="13" x14ac:dyDescent="0.15">
      <c r="H892" s="104"/>
    </row>
    <row r="893" spans="8:8" ht="13" x14ac:dyDescent="0.15">
      <c r="H893" s="104"/>
    </row>
    <row r="894" spans="8:8" ht="13" x14ac:dyDescent="0.15">
      <c r="H894" s="104"/>
    </row>
    <row r="895" spans="8:8" ht="13" x14ac:dyDescent="0.15">
      <c r="H895" s="104"/>
    </row>
    <row r="896" spans="8:8" ht="13" x14ac:dyDescent="0.15">
      <c r="H896" s="104"/>
    </row>
    <row r="897" spans="8:8" ht="13" x14ac:dyDescent="0.15">
      <c r="H897" s="104"/>
    </row>
    <row r="898" spans="8:8" ht="13" x14ac:dyDescent="0.15">
      <c r="H898" s="104"/>
    </row>
    <row r="899" spans="8:8" ht="13" x14ac:dyDescent="0.15">
      <c r="H899" s="104"/>
    </row>
    <row r="900" spans="8:8" ht="13" x14ac:dyDescent="0.15">
      <c r="H900" s="104"/>
    </row>
    <row r="901" spans="8:8" ht="13" x14ac:dyDescent="0.15">
      <c r="H901" s="104"/>
    </row>
    <row r="902" spans="8:8" ht="13" x14ac:dyDescent="0.15">
      <c r="H902" s="104"/>
    </row>
    <row r="903" spans="8:8" ht="13" x14ac:dyDescent="0.15">
      <c r="H903" s="104"/>
    </row>
    <row r="904" spans="8:8" ht="13" x14ac:dyDescent="0.15">
      <c r="H904" s="104"/>
    </row>
    <row r="905" spans="8:8" ht="13" x14ac:dyDescent="0.15">
      <c r="H905" s="104"/>
    </row>
    <row r="906" spans="8:8" ht="13" x14ac:dyDescent="0.15">
      <c r="H906" s="104"/>
    </row>
    <row r="907" spans="8:8" ht="13" x14ac:dyDescent="0.15">
      <c r="H907" s="104"/>
    </row>
    <row r="908" spans="8:8" ht="13" x14ac:dyDescent="0.15">
      <c r="H908" s="104"/>
    </row>
    <row r="909" spans="8:8" ht="13" x14ac:dyDescent="0.15">
      <c r="H909" s="104"/>
    </row>
    <row r="910" spans="8:8" ht="13" x14ac:dyDescent="0.15">
      <c r="H910" s="104"/>
    </row>
    <row r="911" spans="8:8" ht="13" x14ac:dyDescent="0.15">
      <c r="H911" s="104"/>
    </row>
    <row r="912" spans="8:8" ht="13" x14ac:dyDescent="0.15">
      <c r="H912" s="104"/>
    </row>
    <row r="913" spans="8:8" ht="13" x14ac:dyDescent="0.15">
      <c r="H913" s="104"/>
    </row>
    <row r="914" spans="8:8" ht="13" x14ac:dyDescent="0.15">
      <c r="H914" s="104"/>
    </row>
    <row r="915" spans="8:8" ht="13" x14ac:dyDescent="0.15">
      <c r="H915" s="104"/>
    </row>
    <row r="916" spans="8:8" ht="13" x14ac:dyDescent="0.15">
      <c r="H916" s="104"/>
    </row>
    <row r="917" spans="8:8" ht="13" x14ac:dyDescent="0.15">
      <c r="H917" s="104"/>
    </row>
    <row r="918" spans="8:8" ht="13" x14ac:dyDescent="0.15">
      <c r="H918" s="104"/>
    </row>
    <row r="919" spans="8:8" ht="13" x14ac:dyDescent="0.15">
      <c r="H919" s="104"/>
    </row>
    <row r="920" spans="8:8" ht="13" x14ac:dyDescent="0.15">
      <c r="H920" s="104"/>
    </row>
    <row r="921" spans="8:8" ht="13" x14ac:dyDescent="0.15">
      <c r="H921" s="104"/>
    </row>
    <row r="922" spans="8:8" ht="13" x14ac:dyDescent="0.15">
      <c r="H922" s="104"/>
    </row>
    <row r="923" spans="8:8" ht="13" x14ac:dyDescent="0.15">
      <c r="H923" s="104"/>
    </row>
    <row r="924" spans="8:8" ht="13" x14ac:dyDescent="0.15">
      <c r="H924" s="104"/>
    </row>
    <row r="925" spans="8:8" ht="13" x14ac:dyDescent="0.15">
      <c r="H925" s="104"/>
    </row>
    <row r="926" spans="8:8" ht="13" x14ac:dyDescent="0.15">
      <c r="H926" s="104"/>
    </row>
    <row r="927" spans="8:8" ht="13" x14ac:dyDescent="0.15">
      <c r="H927" s="104"/>
    </row>
    <row r="928" spans="8:8" ht="13" x14ac:dyDescent="0.15">
      <c r="H928" s="104"/>
    </row>
    <row r="929" spans="8:8" ht="13" x14ac:dyDescent="0.15">
      <c r="H929" s="104"/>
    </row>
    <row r="930" spans="8:8" ht="13" x14ac:dyDescent="0.15">
      <c r="H930" s="104"/>
    </row>
    <row r="931" spans="8:8" ht="13" x14ac:dyDescent="0.15">
      <c r="H931" s="104"/>
    </row>
    <row r="932" spans="8:8" ht="13" x14ac:dyDescent="0.15">
      <c r="H932" s="104"/>
    </row>
    <row r="933" spans="8:8" ht="13" x14ac:dyDescent="0.15">
      <c r="H933" s="104"/>
    </row>
    <row r="934" spans="8:8" ht="13" x14ac:dyDescent="0.15">
      <c r="H934" s="104"/>
    </row>
    <row r="935" spans="8:8" ht="13" x14ac:dyDescent="0.15">
      <c r="H935" s="104"/>
    </row>
    <row r="936" spans="8:8" ht="13" x14ac:dyDescent="0.15">
      <c r="H936" s="104"/>
    </row>
    <row r="937" spans="8:8" ht="13" x14ac:dyDescent="0.15">
      <c r="H937" s="104"/>
    </row>
    <row r="938" spans="8:8" ht="13" x14ac:dyDescent="0.15">
      <c r="H938" s="104"/>
    </row>
    <row r="939" spans="8:8" ht="13" x14ac:dyDescent="0.15">
      <c r="H939" s="104"/>
    </row>
    <row r="940" spans="8:8" ht="13" x14ac:dyDescent="0.15">
      <c r="H940" s="104"/>
    </row>
    <row r="941" spans="8:8" ht="13" x14ac:dyDescent="0.15">
      <c r="H941" s="104"/>
    </row>
    <row r="942" spans="8:8" ht="13" x14ac:dyDescent="0.15">
      <c r="H942" s="104"/>
    </row>
    <row r="943" spans="8:8" ht="13" x14ac:dyDescent="0.15">
      <c r="H943" s="104"/>
    </row>
    <row r="944" spans="8:8" ht="13" x14ac:dyDescent="0.15">
      <c r="H944" s="104"/>
    </row>
    <row r="945" spans="8:8" ht="13" x14ac:dyDescent="0.15">
      <c r="H945" s="104"/>
    </row>
    <row r="946" spans="8:8" ht="13" x14ac:dyDescent="0.15">
      <c r="H946" s="104"/>
    </row>
    <row r="947" spans="8:8" ht="13" x14ac:dyDescent="0.15">
      <c r="H947" s="104"/>
    </row>
    <row r="948" spans="8:8" ht="13" x14ac:dyDescent="0.15">
      <c r="H948" s="104"/>
    </row>
    <row r="949" spans="8:8" ht="13" x14ac:dyDescent="0.15">
      <c r="H949" s="104"/>
    </row>
    <row r="950" spans="8:8" ht="13" x14ac:dyDescent="0.15">
      <c r="H950" s="104"/>
    </row>
    <row r="951" spans="8:8" ht="13" x14ac:dyDescent="0.15">
      <c r="H951" s="104"/>
    </row>
    <row r="952" spans="8:8" ht="13" x14ac:dyDescent="0.15">
      <c r="H952" s="104"/>
    </row>
    <row r="953" spans="8:8" ht="13" x14ac:dyDescent="0.15">
      <c r="H953" s="104"/>
    </row>
    <row r="954" spans="8:8" ht="13" x14ac:dyDescent="0.15">
      <c r="H954" s="104"/>
    </row>
    <row r="955" spans="8:8" ht="13" x14ac:dyDescent="0.15">
      <c r="H955" s="104"/>
    </row>
    <row r="956" spans="8:8" ht="13" x14ac:dyDescent="0.15">
      <c r="H956" s="104"/>
    </row>
    <row r="957" spans="8:8" ht="13" x14ac:dyDescent="0.15">
      <c r="H957" s="104"/>
    </row>
    <row r="958" spans="8:8" ht="13" x14ac:dyDescent="0.15">
      <c r="H958" s="104"/>
    </row>
    <row r="959" spans="8:8" ht="13" x14ac:dyDescent="0.15">
      <c r="H959" s="104"/>
    </row>
    <row r="960" spans="8:8" ht="13" x14ac:dyDescent="0.15">
      <c r="H960" s="104"/>
    </row>
    <row r="961" spans="8:8" ht="13" x14ac:dyDescent="0.15">
      <c r="H961" s="104"/>
    </row>
    <row r="962" spans="8:8" ht="13" x14ac:dyDescent="0.15">
      <c r="H962" s="104"/>
    </row>
    <row r="963" spans="8:8" ht="13" x14ac:dyDescent="0.15">
      <c r="H963" s="104"/>
    </row>
    <row r="964" spans="8:8" ht="13" x14ac:dyDescent="0.15">
      <c r="H964" s="104"/>
    </row>
    <row r="965" spans="8:8" ht="13" x14ac:dyDescent="0.15">
      <c r="H965" s="104"/>
    </row>
    <row r="966" spans="8:8" ht="13" x14ac:dyDescent="0.15">
      <c r="H966" s="104"/>
    </row>
    <row r="967" spans="8:8" ht="13" x14ac:dyDescent="0.15">
      <c r="H967" s="104"/>
    </row>
    <row r="968" spans="8:8" ht="13" x14ac:dyDescent="0.15">
      <c r="H968" s="104"/>
    </row>
    <row r="969" spans="8:8" ht="13" x14ac:dyDescent="0.15">
      <c r="H969" s="104"/>
    </row>
    <row r="970" spans="8:8" ht="13" x14ac:dyDescent="0.15">
      <c r="H970" s="104"/>
    </row>
    <row r="971" spans="8:8" ht="13" x14ac:dyDescent="0.15">
      <c r="H971" s="104"/>
    </row>
    <row r="972" spans="8:8" ht="13" x14ac:dyDescent="0.15">
      <c r="H972" s="104"/>
    </row>
    <row r="973" spans="8:8" ht="13" x14ac:dyDescent="0.15">
      <c r="H973" s="104"/>
    </row>
    <row r="974" spans="8:8" ht="13" x14ac:dyDescent="0.15">
      <c r="H974" s="104"/>
    </row>
    <row r="975" spans="8:8" ht="13" x14ac:dyDescent="0.15">
      <c r="H975" s="104"/>
    </row>
    <row r="976" spans="8:8" ht="13" x14ac:dyDescent="0.15">
      <c r="H976" s="104"/>
    </row>
    <row r="977" spans="8:8" ht="13" x14ac:dyDescent="0.15">
      <c r="H977" s="104"/>
    </row>
    <row r="978" spans="8:8" ht="13" x14ac:dyDescent="0.15">
      <c r="H978" s="104"/>
    </row>
    <row r="979" spans="8:8" ht="13" x14ac:dyDescent="0.15">
      <c r="H979" s="104"/>
    </row>
    <row r="980" spans="8:8" ht="13" x14ac:dyDescent="0.15">
      <c r="H980" s="104"/>
    </row>
    <row r="981" spans="8:8" ht="13" x14ac:dyDescent="0.15">
      <c r="H981" s="104"/>
    </row>
    <row r="982" spans="8:8" ht="13" x14ac:dyDescent="0.15">
      <c r="H982" s="104"/>
    </row>
    <row r="983" spans="8:8" ht="13" x14ac:dyDescent="0.15">
      <c r="H983" s="104"/>
    </row>
    <row r="984" spans="8:8" ht="13" x14ac:dyDescent="0.15">
      <c r="H984" s="104"/>
    </row>
    <row r="985" spans="8:8" ht="13" x14ac:dyDescent="0.15">
      <c r="H985" s="104"/>
    </row>
    <row r="986" spans="8:8" ht="13" x14ac:dyDescent="0.15">
      <c r="H986" s="104"/>
    </row>
    <row r="987" spans="8:8" ht="13" x14ac:dyDescent="0.15">
      <c r="H987" s="104"/>
    </row>
    <row r="988" spans="8:8" ht="13" x14ac:dyDescent="0.15">
      <c r="H988" s="104"/>
    </row>
    <row r="989" spans="8:8" ht="13" x14ac:dyDescent="0.15">
      <c r="H989" s="104"/>
    </row>
    <row r="990" spans="8:8" ht="13" x14ac:dyDescent="0.15">
      <c r="H990" s="104"/>
    </row>
    <row r="991" spans="8:8" ht="13" x14ac:dyDescent="0.15">
      <c r="H991" s="104"/>
    </row>
    <row r="992" spans="8:8" ht="13" x14ac:dyDescent="0.15">
      <c r="H992" s="104"/>
    </row>
    <row r="993" spans="8:8" ht="13" x14ac:dyDescent="0.15">
      <c r="H993" s="104"/>
    </row>
    <row r="994" spans="8:8" ht="13" x14ac:dyDescent="0.15">
      <c r="H994" s="104"/>
    </row>
    <row r="995" spans="8:8" ht="13" x14ac:dyDescent="0.15">
      <c r="H995" s="104"/>
    </row>
    <row r="996" spans="8:8" ht="13" x14ac:dyDescent="0.15">
      <c r="H996" s="104"/>
    </row>
    <row r="997" spans="8:8" ht="13" x14ac:dyDescent="0.15">
      <c r="H997" s="104"/>
    </row>
    <row r="998" spans="8:8" ht="13" x14ac:dyDescent="0.15">
      <c r="H998" s="104"/>
    </row>
    <row r="999" spans="8:8" ht="13" x14ac:dyDescent="0.15">
      <c r="H999" s="104"/>
    </row>
    <row r="1000" spans="8:8" ht="13" x14ac:dyDescent="0.15">
      <c r="H1000" s="104"/>
    </row>
  </sheetData>
  <autoFilter ref="A1:T1000" xr:uid="{00000000-0009-0000-0000-000019000000}"/>
  <conditionalFormatting sqref="D16:E16 G16 F16:F21">
    <cfRule type="expression" dxfId="13" priority="14">
      <formula>AND(SUM($D16:$G16) &gt; 0, D16 = MIN($D16:$G16))</formula>
    </cfRule>
  </conditionalFormatting>
  <conditionalFormatting sqref="D18:F18 G18:G21">
    <cfRule type="expression" dxfId="12" priority="16">
      <formula>AND(SUM($D18:$G18) &gt; 0, D18 = MIN($D18:$G18))</formula>
    </cfRule>
  </conditionalFormatting>
  <conditionalFormatting sqref="D2:G21">
    <cfRule type="expression" dxfId="11" priority="1">
      <formula>AND(SUM($D2:$G2) &gt; 0, D2 = MIN($D2:$G2))</formula>
    </cfRule>
  </conditionalFormatting>
  <conditionalFormatting sqref="D3:G12">
    <cfRule type="expression" dxfId="10" priority="2">
      <formula>AND(SUM($D3:$G3) &gt; 0, D3 = MIN($D3:$G3))</formula>
    </cfRule>
  </conditionalFormatting>
  <conditionalFormatting sqref="D13:G13">
    <cfRule type="expression" dxfId="9" priority="11">
      <formula>AND(SUM($D13:$G13) &gt; 0, D13 = MIN($D13:$G13))</formula>
    </cfRule>
  </conditionalFormatting>
  <conditionalFormatting sqref="D14:G15">
    <cfRule type="expression" dxfId="8" priority="12">
      <formula>AND(SUM($D14:$G14) &gt; 0, D14 = MIN($D14:$G14))</formula>
    </cfRule>
  </conditionalFormatting>
  <conditionalFormatting sqref="D17:G17">
    <cfRule type="expression" dxfId="7" priority="15">
      <formula>AND(SUM($D17:$G17) &gt; 0, D17 = MIN($D17:$G17))</formula>
    </cfRule>
  </conditionalFormatting>
  <conditionalFormatting sqref="E19:G19 D19:D21">
    <cfRule type="expression" dxfId="6" priority="17">
      <formula>AND(SUM($D19:$G19) &gt; 0, D19 = MIN($D19:$G19))</formula>
    </cfRule>
  </conditionalFormatting>
  <conditionalFormatting sqref="E21:G21">
    <cfRule type="expression" dxfId="5" priority="19">
      <formula>AND(SUM($D21:$G21) &gt; 0, D21 = MIN($D21:$G21))</formula>
    </cfRule>
  </conditionalFormatting>
  <conditionalFormatting sqref="F20:G20 E20:E21">
    <cfRule type="expression" dxfId="4" priority="18">
      <formula>AND(SUM($D20:$G20) &gt; 0, E20 = MIN($D20:$G20))</formula>
    </cfRule>
  </conditionalFormatting>
  <conditionalFormatting sqref="H2:H21">
    <cfRule type="containsText" dxfId="3" priority="24" operator="containsText" text="Sovereign">
      <formula>NOT(ISERROR(SEARCH(("Sovereign"),(H2))))</formula>
    </cfRule>
    <cfRule type="containsText" dxfId="2" priority="21" operator="containsText" text="Empress">
      <formula>NOT(ISERROR(SEARCH(("Empress"),(H2))))</formula>
    </cfRule>
    <cfRule type="containsText" dxfId="1" priority="22" operator="containsText" text="Seductress">
      <formula>NOT(ISERROR(SEARCH(("Seductress"),(H2))))</formula>
    </cfRule>
    <cfRule type="containsText" dxfId="0" priority="23" operator="containsText" text="Consort">
      <formula>NOT(ISERROR(SEARCH(("Consort"),(H2))))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6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2" t="s">
        <v>246</v>
      </c>
      <c r="B1" s="2" t="s">
        <v>9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  <c r="H1" s="2" t="s">
        <v>3</v>
      </c>
      <c r="I1" s="2" t="s">
        <v>252</v>
      </c>
      <c r="J1" s="2" t="s">
        <v>7</v>
      </c>
      <c r="K1" s="2" t="s">
        <v>8</v>
      </c>
      <c r="L1" s="2" t="s">
        <v>253</v>
      </c>
      <c r="M1" s="2" t="s">
        <v>254</v>
      </c>
      <c r="N1" s="2" t="s">
        <v>255</v>
      </c>
      <c r="O1" s="2" t="s">
        <v>256</v>
      </c>
      <c r="P1" s="2" t="s">
        <v>257</v>
      </c>
      <c r="Q1" s="2" t="s">
        <v>258</v>
      </c>
      <c r="R1" s="2" t="s">
        <v>259</v>
      </c>
      <c r="S1" s="2" t="s">
        <v>260</v>
      </c>
      <c r="T1" s="2" t="s">
        <v>261</v>
      </c>
      <c r="U1" s="2" t="s">
        <v>262</v>
      </c>
      <c r="V1" s="2" t="s">
        <v>263</v>
      </c>
      <c r="W1" s="2" t="s">
        <v>264</v>
      </c>
      <c r="X1" s="2" t="s">
        <v>265</v>
      </c>
      <c r="Y1" s="2" t="s">
        <v>266</v>
      </c>
      <c r="Z1" s="2" t="s">
        <v>267</v>
      </c>
    </row>
    <row r="2" spans="1:26" ht="15.75" customHeight="1" x14ac:dyDescent="0.15">
      <c r="A2" s="105" t="s">
        <v>268</v>
      </c>
      <c r="B2" s="105" t="s">
        <v>269</v>
      </c>
      <c r="C2" s="2" t="s">
        <v>270</v>
      </c>
      <c r="D2" s="2" t="s">
        <v>271</v>
      </c>
      <c r="E2" s="105" t="s">
        <v>272</v>
      </c>
      <c r="F2" s="105" t="s">
        <v>273</v>
      </c>
      <c r="G2" s="105" t="s">
        <v>274</v>
      </c>
      <c r="H2" s="2" t="s">
        <v>72</v>
      </c>
      <c r="I2" s="2" t="s">
        <v>275</v>
      </c>
      <c r="J2" s="2" t="s">
        <v>275</v>
      </c>
      <c r="K2" s="2" t="s">
        <v>275</v>
      </c>
      <c r="L2" s="2" t="s">
        <v>276</v>
      </c>
      <c r="M2" s="2" t="s">
        <v>75</v>
      </c>
      <c r="N2" s="2" t="s">
        <v>76</v>
      </c>
      <c r="O2" s="2" t="s">
        <v>277</v>
      </c>
      <c r="P2" s="2" t="s">
        <v>278</v>
      </c>
      <c r="Q2" s="2" t="s">
        <v>279</v>
      </c>
      <c r="R2" s="2" t="s">
        <v>280</v>
      </c>
      <c r="S2" s="2" t="s">
        <v>281</v>
      </c>
      <c r="T2" s="2" t="s">
        <v>282</v>
      </c>
      <c r="U2" s="2" t="s">
        <v>283</v>
      </c>
      <c r="V2" s="2" t="s">
        <v>284</v>
      </c>
      <c r="W2" s="2" t="s">
        <v>285</v>
      </c>
      <c r="X2" s="2" t="s">
        <v>286</v>
      </c>
      <c r="Y2" s="2" t="s">
        <v>287</v>
      </c>
      <c r="Z2" s="2" t="s">
        <v>288</v>
      </c>
    </row>
    <row r="3" spans="1:26" ht="15.75" customHeight="1" x14ac:dyDescent="0.15">
      <c r="A3" s="105" t="s">
        <v>289</v>
      </c>
      <c r="B3" s="105" t="s">
        <v>269</v>
      </c>
      <c r="C3" s="2" t="s">
        <v>270</v>
      </c>
      <c r="D3" s="2" t="s">
        <v>271</v>
      </c>
      <c r="E3" s="105" t="s">
        <v>290</v>
      </c>
      <c r="F3" s="105" t="s">
        <v>291</v>
      </c>
      <c r="G3" s="105" t="s">
        <v>292</v>
      </c>
      <c r="H3" s="2" t="s">
        <v>77</v>
      </c>
      <c r="I3" s="2" t="s">
        <v>275</v>
      </c>
      <c r="J3" s="2" t="s">
        <v>275</v>
      </c>
      <c r="K3" s="2" t="s">
        <v>275</v>
      </c>
      <c r="L3" s="2" t="s">
        <v>293</v>
      </c>
      <c r="M3" s="2" t="s">
        <v>80</v>
      </c>
      <c r="N3" s="2" t="s">
        <v>81</v>
      </c>
      <c r="O3" s="2" t="s">
        <v>294</v>
      </c>
      <c r="P3" s="2" t="s">
        <v>295</v>
      </c>
      <c r="Q3" s="2" t="s">
        <v>296</v>
      </c>
      <c r="R3" s="2" t="s">
        <v>297</v>
      </c>
      <c r="S3" s="2" t="s">
        <v>298</v>
      </c>
      <c r="T3" s="2" t="s">
        <v>299</v>
      </c>
      <c r="U3" s="2" t="s">
        <v>300</v>
      </c>
      <c r="V3" s="2" t="s">
        <v>284</v>
      </c>
      <c r="W3" s="2" t="s">
        <v>301</v>
      </c>
      <c r="X3" s="2" t="s">
        <v>302</v>
      </c>
      <c r="Y3" s="2" t="s">
        <v>303</v>
      </c>
      <c r="Z3" s="2" t="s">
        <v>304</v>
      </c>
    </row>
    <row r="4" spans="1:26" ht="15.75" customHeight="1" x14ac:dyDescent="0.15">
      <c r="A4" s="105" t="s">
        <v>305</v>
      </c>
      <c r="B4" s="105" t="s">
        <v>269</v>
      </c>
      <c r="C4" s="2" t="s">
        <v>270</v>
      </c>
      <c r="D4" s="2" t="s">
        <v>271</v>
      </c>
      <c r="E4" s="105" t="s">
        <v>306</v>
      </c>
      <c r="F4" s="105" t="s">
        <v>307</v>
      </c>
      <c r="G4" s="105" t="s">
        <v>308</v>
      </c>
      <c r="H4" s="2" t="s">
        <v>82</v>
      </c>
      <c r="I4" s="2" t="s">
        <v>275</v>
      </c>
      <c r="J4" s="2" t="s">
        <v>275</v>
      </c>
      <c r="K4" s="2" t="s">
        <v>275</v>
      </c>
      <c r="L4" s="2" t="s">
        <v>309</v>
      </c>
      <c r="M4" s="2" t="s">
        <v>85</v>
      </c>
      <c r="N4" s="2" t="s">
        <v>310</v>
      </c>
      <c r="O4" s="2" t="s">
        <v>311</v>
      </c>
      <c r="P4" s="2" t="s">
        <v>312</v>
      </c>
      <c r="Q4" s="2" t="s">
        <v>313</v>
      </c>
      <c r="R4" s="2" t="s">
        <v>314</v>
      </c>
      <c r="S4" s="2" t="s">
        <v>315</v>
      </c>
      <c r="T4" s="2" t="s">
        <v>316</v>
      </c>
      <c r="U4" s="2" t="s">
        <v>317</v>
      </c>
      <c r="V4" s="2" t="s">
        <v>318</v>
      </c>
      <c r="W4" s="2" t="s">
        <v>319</v>
      </c>
      <c r="X4" s="2" t="s">
        <v>286</v>
      </c>
      <c r="Y4" s="2" t="s">
        <v>303</v>
      </c>
      <c r="Z4" s="2" t="s">
        <v>320</v>
      </c>
    </row>
    <row r="5" spans="1:26" ht="15.75" customHeight="1" x14ac:dyDescent="0.15">
      <c r="A5" s="105" t="s">
        <v>321</v>
      </c>
      <c r="B5" s="105" t="s">
        <v>269</v>
      </c>
      <c r="C5" s="2" t="s">
        <v>270</v>
      </c>
      <c r="D5" s="2" t="s">
        <v>271</v>
      </c>
      <c r="E5" s="105" t="s">
        <v>322</v>
      </c>
      <c r="F5" s="105" t="s">
        <v>323</v>
      </c>
      <c r="G5" s="105" t="s">
        <v>324</v>
      </c>
      <c r="H5" s="2" t="s">
        <v>87</v>
      </c>
      <c r="I5" s="2" t="s">
        <v>275</v>
      </c>
      <c r="J5" s="2" t="s">
        <v>275</v>
      </c>
      <c r="K5" s="2" t="s">
        <v>275</v>
      </c>
      <c r="L5" s="2" t="s">
        <v>325</v>
      </c>
      <c r="M5" s="2" t="s">
        <v>90</v>
      </c>
      <c r="N5" s="2" t="s">
        <v>91</v>
      </c>
      <c r="O5" s="2" t="s">
        <v>326</v>
      </c>
      <c r="P5" s="2" t="s">
        <v>278</v>
      </c>
      <c r="Q5" s="2" t="s">
        <v>327</v>
      </c>
      <c r="R5" s="2" t="s">
        <v>328</v>
      </c>
      <c r="S5" s="2" t="s">
        <v>329</v>
      </c>
      <c r="T5" s="2" t="s">
        <v>330</v>
      </c>
      <c r="U5" s="2" t="s">
        <v>317</v>
      </c>
      <c r="V5" s="2" t="s">
        <v>331</v>
      </c>
      <c r="W5" s="2" t="s">
        <v>332</v>
      </c>
      <c r="X5" s="2" t="s">
        <v>302</v>
      </c>
      <c r="Y5" s="2" t="s">
        <v>333</v>
      </c>
      <c r="Z5" s="2" t="s">
        <v>304</v>
      </c>
    </row>
    <row r="6" spans="1:26" ht="15.75" customHeight="1" x14ac:dyDescent="0.15">
      <c r="A6" s="105" t="s">
        <v>334</v>
      </c>
      <c r="B6" s="105" t="s">
        <v>269</v>
      </c>
      <c r="C6" s="2" t="s">
        <v>270</v>
      </c>
      <c r="D6" s="2" t="s">
        <v>271</v>
      </c>
      <c r="E6" s="105" t="s">
        <v>335</v>
      </c>
      <c r="F6" s="105" t="s">
        <v>336</v>
      </c>
      <c r="G6" s="105" t="s">
        <v>337</v>
      </c>
      <c r="H6" s="2" t="s">
        <v>92</v>
      </c>
      <c r="I6" s="2" t="s">
        <v>275</v>
      </c>
      <c r="J6" s="2" t="s">
        <v>275</v>
      </c>
      <c r="K6" s="2" t="s">
        <v>275</v>
      </c>
      <c r="L6" s="2" t="s">
        <v>338</v>
      </c>
      <c r="M6" s="2" t="s">
        <v>95</v>
      </c>
      <c r="N6" s="2" t="s">
        <v>96</v>
      </c>
      <c r="O6" s="2" t="s">
        <v>339</v>
      </c>
      <c r="P6" s="2" t="s">
        <v>340</v>
      </c>
      <c r="Q6" s="2" t="s">
        <v>341</v>
      </c>
      <c r="R6" s="2" t="s">
        <v>297</v>
      </c>
      <c r="S6" s="2" t="s">
        <v>342</v>
      </c>
      <c r="T6" s="2" t="s">
        <v>343</v>
      </c>
      <c r="U6" s="2" t="s">
        <v>344</v>
      </c>
      <c r="V6" s="2" t="s">
        <v>345</v>
      </c>
      <c r="W6" s="2" t="s">
        <v>346</v>
      </c>
      <c r="X6" s="2" t="s">
        <v>347</v>
      </c>
      <c r="Y6" s="2" t="s">
        <v>348</v>
      </c>
      <c r="Z6" s="2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4</vt:i4>
      </vt:variant>
    </vt:vector>
  </HeadingPairs>
  <TitlesOfParts>
    <vt:vector size="31" baseType="lpstr">
      <vt:lpstr>Epitome Archetype Guide</vt:lpstr>
      <vt:lpstr>Epitome Archetype Framework 202</vt:lpstr>
      <vt:lpstr>Reference</vt:lpstr>
      <vt:lpstr>Analysis</vt:lpstr>
      <vt:lpstr>Response 1</vt:lpstr>
      <vt:lpstr> Response 2</vt:lpstr>
      <vt:lpstr>Response 3</vt:lpstr>
      <vt:lpstr>Response 4</vt:lpstr>
      <vt:lpstr>Response 5</vt:lpstr>
      <vt:lpstr>Response 6</vt:lpstr>
      <vt:lpstr>Response 7</vt:lpstr>
      <vt:lpstr>Response 8</vt:lpstr>
      <vt:lpstr>Response 9</vt:lpstr>
      <vt:lpstr>Response 10</vt:lpstr>
      <vt:lpstr>Response 11</vt:lpstr>
      <vt:lpstr>Response 12</vt:lpstr>
      <vt:lpstr>Response 13</vt:lpstr>
      <vt:lpstr>Response 14</vt:lpstr>
      <vt:lpstr>Response 15</vt:lpstr>
      <vt:lpstr>Response 16</vt:lpstr>
      <vt:lpstr>Response 17</vt:lpstr>
      <vt:lpstr>Response 18</vt:lpstr>
      <vt:lpstr>Response 19</vt:lpstr>
      <vt:lpstr>Response 20</vt:lpstr>
      <vt:lpstr>testing sheet</vt:lpstr>
      <vt:lpstr>oldAnalysis</vt:lpstr>
      <vt:lpstr>Epitome Archetype Guide1</vt:lpstr>
      <vt:lpstr>Analysis!Empress</vt:lpstr>
      <vt:lpstr>Empress</vt:lpstr>
      <vt:lpstr>Analysis!Seductress</vt:lpstr>
      <vt:lpstr>Seductress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Merle Singer</cp:lastModifiedBy>
  <dcterms:created xsi:type="dcterms:W3CDTF">2026-07-14T01:33:15Z</dcterms:created>
  <dcterms:modified xsi:type="dcterms:W3CDTF">2026-07-14T01:33:15Z</dcterms:modified>
</cp:coreProperties>
</file>